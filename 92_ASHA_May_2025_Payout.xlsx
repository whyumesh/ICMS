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bbott.sharepoint.com/sites/IN-EPD-BI/Commission files for Auditors/APC Commission Automation/Output/2025/92/"/>
    </mc:Choice>
  </mc:AlternateContent>
  <xr:revisionPtr revIDLastSave="0" documentId="8_{3E142B1E-5D99-430C-8757-963DD26BC444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Payout_Data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R3" i="1" l="1"/>
  <c r="CR4" i="1"/>
  <c r="CR5" i="1"/>
  <c r="CR6" i="1"/>
  <c r="CR7" i="1"/>
  <c r="CR8" i="1"/>
  <c r="CR9" i="1"/>
  <c r="CR10" i="1"/>
  <c r="CR11" i="1"/>
  <c r="CR12" i="1"/>
  <c r="CR13" i="1"/>
  <c r="CR14" i="1"/>
  <c r="CR15" i="1"/>
  <c r="CR16" i="1"/>
  <c r="CR17" i="1"/>
  <c r="CR18" i="1"/>
  <c r="CR19" i="1"/>
  <c r="CR20" i="1"/>
  <c r="CR21" i="1"/>
  <c r="CR22" i="1"/>
  <c r="CR23" i="1"/>
  <c r="CR24" i="1"/>
  <c r="CR25" i="1"/>
  <c r="CR26" i="1"/>
  <c r="CR27" i="1"/>
  <c r="CR28" i="1"/>
  <c r="CR29" i="1"/>
  <c r="CR30" i="1"/>
  <c r="CR31" i="1"/>
  <c r="CR32" i="1"/>
  <c r="CR33" i="1"/>
  <c r="CR34" i="1"/>
  <c r="CR35" i="1"/>
  <c r="CR36" i="1"/>
  <c r="CR37" i="1"/>
  <c r="CR38" i="1"/>
  <c r="CR39" i="1"/>
  <c r="CR40" i="1"/>
  <c r="CR41" i="1"/>
  <c r="CR42" i="1"/>
  <c r="CR43" i="1"/>
  <c r="CR44" i="1"/>
  <c r="CR45" i="1"/>
  <c r="CR46" i="1"/>
  <c r="CR47" i="1"/>
  <c r="CR48" i="1"/>
  <c r="CR49" i="1"/>
  <c r="CR50" i="1"/>
  <c r="CR51" i="1"/>
  <c r="CR52" i="1"/>
  <c r="CR53" i="1"/>
  <c r="CR54" i="1"/>
  <c r="CR55" i="1"/>
  <c r="CR56" i="1"/>
  <c r="CR57" i="1"/>
  <c r="CR58" i="1"/>
  <c r="CR59" i="1"/>
  <c r="CR60" i="1"/>
  <c r="CR61" i="1"/>
  <c r="CR62" i="1"/>
  <c r="CR63" i="1"/>
  <c r="CR64" i="1"/>
  <c r="CR65" i="1"/>
  <c r="CR66" i="1"/>
  <c r="CR67" i="1"/>
  <c r="CR68" i="1"/>
  <c r="CR69" i="1"/>
  <c r="CR70" i="1"/>
  <c r="CR71" i="1"/>
  <c r="CR72" i="1"/>
  <c r="CR73" i="1"/>
  <c r="CR74" i="1"/>
  <c r="CR75" i="1"/>
  <c r="CR76" i="1"/>
  <c r="CR77" i="1"/>
  <c r="CR2" i="1"/>
  <c r="CQ3" i="1"/>
  <c r="CQ4" i="1"/>
  <c r="CQ5" i="1"/>
  <c r="CQ6" i="1"/>
  <c r="CQ7" i="1"/>
  <c r="CQ8" i="1"/>
  <c r="CQ9" i="1"/>
  <c r="CQ10" i="1"/>
  <c r="CQ11" i="1"/>
  <c r="CQ12" i="1"/>
  <c r="CQ13" i="1"/>
  <c r="CQ14" i="1"/>
  <c r="CQ15" i="1"/>
  <c r="CQ16" i="1"/>
  <c r="CQ17" i="1"/>
  <c r="CQ18" i="1"/>
  <c r="CQ19" i="1"/>
  <c r="CQ20" i="1"/>
  <c r="CQ21" i="1"/>
  <c r="CQ22" i="1"/>
  <c r="CQ23" i="1"/>
  <c r="CQ24" i="1"/>
  <c r="CQ25" i="1"/>
  <c r="CQ26" i="1"/>
  <c r="CQ27" i="1"/>
  <c r="CQ28" i="1"/>
  <c r="CQ29" i="1"/>
  <c r="CQ30" i="1"/>
  <c r="CQ31" i="1"/>
  <c r="CQ32" i="1"/>
  <c r="CQ33" i="1"/>
  <c r="CQ34" i="1"/>
  <c r="CQ35" i="1"/>
  <c r="CQ36" i="1"/>
  <c r="CQ37" i="1"/>
  <c r="CQ38" i="1"/>
  <c r="CQ39" i="1"/>
  <c r="CQ40" i="1"/>
  <c r="CQ41" i="1"/>
  <c r="CQ42" i="1"/>
  <c r="CQ43" i="1"/>
  <c r="CQ44" i="1"/>
  <c r="CQ45" i="1"/>
  <c r="CQ46" i="1"/>
  <c r="CQ47" i="1"/>
  <c r="CQ48" i="1"/>
  <c r="CQ49" i="1"/>
  <c r="CQ50" i="1"/>
  <c r="CQ51" i="1"/>
  <c r="CQ52" i="1"/>
  <c r="CQ53" i="1"/>
  <c r="CQ54" i="1"/>
  <c r="CQ55" i="1"/>
  <c r="CQ56" i="1"/>
  <c r="CQ57" i="1"/>
  <c r="CQ58" i="1"/>
  <c r="CQ59" i="1"/>
  <c r="CQ60" i="1"/>
  <c r="CQ61" i="1"/>
  <c r="CQ62" i="1"/>
  <c r="CQ63" i="1"/>
  <c r="CQ64" i="1"/>
  <c r="CQ65" i="1"/>
  <c r="CQ66" i="1"/>
  <c r="CQ67" i="1"/>
  <c r="CQ68" i="1"/>
  <c r="CQ69" i="1"/>
  <c r="CQ70" i="1"/>
  <c r="CQ71" i="1"/>
  <c r="CQ72" i="1"/>
  <c r="CQ73" i="1"/>
  <c r="CQ74" i="1"/>
  <c r="CQ75" i="1"/>
  <c r="CQ76" i="1"/>
  <c r="CQ77" i="1"/>
  <c r="CQ2" i="1"/>
</calcChain>
</file>

<file path=xl/sharedStrings.xml><?xml version="1.0" encoding="utf-8"?>
<sst xmlns="http://schemas.openxmlformats.org/spreadsheetml/2006/main" count="1610" uniqueCount="446">
  <si>
    <t>YEAR</t>
  </si>
  <si>
    <t>MONTH</t>
  </si>
  <si>
    <t>DIVISION_CODE</t>
  </si>
  <si>
    <t>DIVISION_NAME</t>
  </si>
  <si>
    <t>PARENT CODE_ABM</t>
  </si>
  <si>
    <t>PARENT CODE_ZBM</t>
  </si>
  <si>
    <t>HEAD</t>
  </si>
  <si>
    <t>EMPLOYEE_CODE</t>
  </si>
  <si>
    <t>EMPLOYEE_NAME</t>
  </si>
  <si>
    <t>DESIGNATION</t>
  </si>
  <si>
    <t>DOJ</t>
  </si>
  <si>
    <t>ZONE</t>
  </si>
  <si>
    <t>HQ</t>
  </si>
  <si>
    <t>TRANSFER_DATE</t>
  </si>
  <si>
    <t>DEPL</t>
  </si>
  <si>
    <t>SALES_FLAG</t>
  </si>
  <si>
    <t>Active Status</t>
  </si>
  <si>
    <t>Overall_Target</t>
  </si>
  <si>
    <t>Overall_Sales</t>
  </si>
  <si>
    <t>% Ach</t>
  </si>
  <si>
    <t>Secondary_Sales</t>
  </si>
  <si>
    <t>Secondary_% Ach</t>
  </si>
  <si>
    <t>Mid_Month Sales</t>
  </si>
  <si>
    <t>Claims</t>
  </si>
  <si>
    <t>Returns</t>
  </si>
  <si>
    <t>Mid_Month % Ach</t>
  </si>
  <si>
    <t>B1_ESGIPYRIN_TAB_Trgt</t>
  </si>
  <si>
    <t>B1_ESGIPYRIN_TAB_Acts</t>
  </si>
  <si>
    <t>B1_ESGIPYRIN_TAB_% Ach</t>
  </si>
  <si>
    <t>B2_ESGIPYRIN_INJ_Trgt</t>
  </si>
  <si>
    <t>B2_ESGIPYRIN_INJ_Acts</t>
  </si>
  <si>
    <t>B2_ESGIPYRIN_INJ_% Ach</t>
  </si>
  <si>
    <t>Final_Sales_before_normal_capping</t>
  </si>
  <si>
    <t>B2_ESGIPYRIN_INJ_Capping_Deduction</t>
  </si>
  <si>
    <t>Returns_%</t>
  </si>
  <si>
    <t>Claims_%</t>
  </si>
  <si>
    <t>Claims_Reduction</t>
  </si>
  <si>
    <t>On_Tgt</t>
  </si>
  <si>
    <t>Post_Month_Target</t>
  </si>
  <si>
    <t>Post_Month_Sales</t>
  </si>
  <si>
    <t>Post_Month_% Ach</t>
  </si>
  <si>
    <t>2PC_Cov</t>
  </si>
  <si>
    <t>Call_Avg</t>
  </si>
  <si>
    <t>Effort Deduction Value - New Joinee</t>
  </si>
  <si>
    <t>Effort Deduction Value - Overall</t>
  </si>
  <si>
    <t>Final_Sales</t>
  </si>
  <si>
    <t>Final % Ach</t>
  </si>
  <si>
    <t>Month_Commission</t>
  </si>
  <si>
    <t>Month_Remark</t>
  </si>
  <si>
    <t>Mid_Month_Commission</t>
  </si>
  <si>
    <t>Mid_Month_Remark</t>
  </si>
  <si>
    <t>New_Joinee_Commission</t>
  </si>
  <si>
    <t>New_Joinee_Remark</t>
  </si>
  <si>
    <t>MONTH_GROUP_BETONIN_Target_Value</t>
  </si>
  <si>
    <t>MONTH_GROUP_BETONIN_Sales_Value</t>
  </si>
  <si>
    <t>MONTH_GROUP_BETONIN_% Ach_Value</t>
  </si>
  <si>
    <t>MONTH_GROUP_BETONIN_Target_Unit</t>
  </si>
  <si>
    <t>MONTH_GROUP_BETONIN_Sales_Unit</t>
  </si>
  <si>
    <t>MONTH_GROUP_BETONIN_% Ach_Unit</t>
  </si>
  <si>
    <t>ON_TGT_GROUP_BETONIN</t>
  </si>
  <si>
    <t>GROUP_BETONIN_Brand_Reward</t>
  </si>
  <si>
    <t>GROUP_BETONIN_Brand_Remark</t>
  </si>
  <si>
    <t>MONTH_GROUP_FOCUS_ICONIC_Target_Value</t>
  </si>
  <si>
    <t>MONTH_GROUP_FOCUS_ICONIC_Sales_Value</t>
  </si>
  <si>
    <t>MONTH_GROUP_FOCUS_ICONIC_% Ach_Value</t>
  </si>
  <si>
    <t>MONTH_GROUP_KENACORT_Target_Value</t>
  </si>
  <si>
    <t>MONTH_GROUP_KENACORT_Sales_Value</t>
  </si>
  <si>
    <t>MONTH_GROUP_KENACORT_% Ach_Value</t>
  </si>
  <si>
    <t>ON_TGT_GROUP_KENACORT</t>
  </si>
  <si>
    <t>GROUP_KENACORT_Brand_Reward</t>
  </si>
  <si>
    <t>GROUP_KENACORT_Brand_Remark</t>
  </si>
  <si>
    <t>B1_STEMETIL_Trgt</t>
  </si>
  <si>
    <t>B1_STEMETIL_Acts</t>
  </si>
  <si>
    <t>B1_STEMETIL_% Ach</t>
  </si>
  <si>
    <t>B1_STEMETIL_Capping_Deduction</t>
  </si>
  <si>
    <t>MONTH_GROUP_STEMETIL_Target_Value</t>
  </si>
  <si>
    <t>MONTH_GROUP_STEMETIL_Sales_Value</t>
  </si>
  <si>
    <t>MONTH_GROUP_STEMETIL_% Ach_Value</t>
  </si>
  <si>
    <t>Final MONTH_GROUP_STEMETIL_Sales_Value</t>
  </si>
  <si>
    <t>Final MONTH_GROUP_STEMETIL_% Ach_Value</t>
  </si>
  <si>
    <t>ON_TGT_GROUP_STEMETIL</t>
  </si>
  <si>
    <t>GROUP_STEMETIL_Brand_Reward</t>
  </si>
  <si>
    <t>GROUP_STEMETIL_Brand_Remark</t>
  </si>
  <si>
    <t>MONTH_GROUP_TIXYLIX_Target_Value</t>
  </si>
  <si>
    <t>MONTH_GROUP_TIXYLIX_Sales_Value</t>
  </si>
  <si>
    <t>MONTH_GROUP_TIXYLIX_% Ach_Value</t>
  </si>
  <si>
    <t>MONTH_GROUP_TIXYLIX_LS_Target_Value</t>
  </si>
  <si>
    <t>MONTH_GROUP_TIXYLIX_LS_Sales_Value</t>
  </si>
  <si>
    <t>MONTH_GROUP_TIXYLIX_LS_% Ach_Value</t>
  </si>
  <si>
    <t>ON_TGT_GROUP_TIXYLIX</t>
  </si>
  <si>
    <t>GROUP_TIXYLIX_Brand_Reward</t>
  </si>
  <si>
    <t>GROUP_TIXYLIX_Brand_Remark</t>
  </si>
  <si>
    <t>Total_Amount</t>
  </si>
  <si>
    <t>2025</t>
  </si>
  <si>
    <t>5</t>
  </si>
  <si>
    <t>ASHA</t>
  </si>
  <si>
    <t>ZN001232</t>
  </si>
  <si>
    <t>102718</t>
  </si>
  <si>
    <t>Ravikant Chhabra</t>
  </si>
  <si>
    <t>ZBM</t>
  </si>
  <si>
    <t>VARANASI</t>
  </si>
  <si>
    <t>-</t>
  </si>
  <si>
    <t>Active</t>
  </si>
  <si>
    <t>Congratulations</t>
  </si>
  <si>
    <t>Designation Not Applicable</t>
  </si>
  <si>
    <t>Joinee bonus not eligible, Designation Not Applicable</t>
  </si>
  <si>
    <t>['Designation Not Applicable']</t>
  </si>
  <si>
    <t>IA004110</t>
  </si>
  <si>
    <t>723932</t>
  </si>
  <si>
    <t>Rajeev Kumar</t>
  </si>
  <si>
    <t>ABM</t>
  </si>
  <si>
    <t>GHAZIABAD</t>
  </si>
  <si>
    <t>Final % Ach Not achieved, Post_Month_% Ach Not achieved</t>
  </si>
  <si>
    <t>Final % Ach Not achieved</t>
  </si>
  <si>
    <t>Final % Ach Not achived</t>
  </si>
  <si>
    <t>MONTH_GROUP_KENACORT_% Ach_Value Not achived, Final % Ach Not achived</t>
  </si>
  <si>
    <t>MONTH_GROUP_STEMETIL_% Ach_Value Not achived, Final % Ach Not achived</t>
  </si>
  <si>
    <t>MONTH_GROUP_TIXYLIX_% Ach_Value Not achived, Final % Ach Not achived, MONTH_GROUP_TIXYLIX_LS_% Ach_Value Not achived</t>
  </si>
  <si>
    <t>IT016509</t>
  </si>
  <si>
    <t>738353</t>
  </si>
  <si>
    <t>Nikunj Bhardwaj</t>
  </si>
  <si>
    <t>TBM</t>
  </si>
  <si>
    <t>BARAUT</t>
  </si>
  <si>
    <t>Joinee bonus not eligible</t>
  </si>
  <si>
    <t>MONTH_GROUP_TIXYLIX_% Ach_Value Not achived, MONTH_GROUP_TIXYLIX_LS_% Ach_Value Not achived</t>
  </si>
  <si>
    <t>IT016511</t>
  </si>
  <si>
    <t>735598</t>
  </si>
  <si>
    <t>Mohan Shakya</t>
  </si>
  <si>
    <t>ETAH</t>
  </si>
  <si>
    <t>Inactive</t>
  </si>
  <si>
    <t>Mid_Month % Ach Not achieved</t>
  </si>
  <si>
    <t>IT016513</t>
  </si>
  <si>
    <t>739338</t>
  </si>
  <si>
    <t>Ravi Kumar</t>
  </si>
  <si>
    <t>FIROZABAD</t>
  </si>
  <si>
    <t>DOJ not eligible</t>
  </si>
  <si>
    <t>IT016515</t>
  </si>
  <si>
    <t>737128</t>
  </si>
  <si>
    <t>Naveen Nishchal</t>
  </si>
  <si>
    <t>HAPUR</t>
  </si>
  <si>
    <t>Final MONTH_GROUP_STEMETIL_% Ach_Value Not achived</t>
  </si>
  <si>
    <t>IT016517</t>
  </si>
  <si>
    <t>732804</t>
  </si>
  <si>
    <t>Bharat Singh</t>
  </si>
  <si>
    <t>HATHRAS</t>
  </si>
  <si>
    <t>IT016520</t>
  </si>
  <si>
    <t>735308</t>
  </si>
  <si>
    <t>Pankaj Gupta</t>
  </si>
  <si>
    <t>KASGANJ</t>
  </si>
  <si>
    <t>IT016522</t>
  </si>
  <si>
    <t>737926</t>
  </si>
  <si>
    <t>Shivjee</t>
  </si>
  <si>
    <t>LALITPUR</t>
  </si>
  <si>
    <t>MONTH_GROUP_TIXYLIX_LS_% Ach_Value Not achived</t>
  </si>
  <si>
    <t>IT016523</t>
  </si>
  <si>
    <t>736681</t>
  </si>
  <si>
    <t>Surya Kant Mishra</t>
  </si>
  <si>
    <t>MAINPURI</t>
  </si>
  <si>
    <t>Mid_Month % Ach Not achieved, Final % Ach Not achieved</t>
  </si>
  <si>
    <t>Joinee bonus not eligible, Joinee bonus achievement not met</t>
  </si>
  <si>
    <t>MONTH_GROUP_BETONIN_% Ach_Value Not achived, MONTH_GROUP_BETONIN_% Ach_Unit Not achived, Final % Ach Not achived</t>
  </si>
  <si>
    <t>Final MONTH_GROUP_STEMETIL_% Ach_Value Not achived, Final % Ach Not achived</t>
  </si>
  <si>
    <t>IT019175</t>
  </si>
  <si>
    <t>735277</t>
  </si>
  <si>
    <t>Lalit Rajput</t>
  </si>
  <si>
    <t>IT023476</t>
  </si>
  <si>
    <t>738104</t>
  </si>
  <si>
    <t>Akshya Panwar</t>
  </si>
  <si>
    <t>SHAMLI</t>
  </si>
  <si>
    <t>IA004111</t>
  </si>
  <si>
    <t>735728</t>
  </si>
  <si>
    <t>Ratneshwer Mishra</t>
  </si>
  <si>
    <t>LUCKNOW</t>
  </si>
  <si>
    <t>IT016507</t>
  </si>
  <si>
    <t>704779</t>
  </si>
  <si>
    <t>Kaushal Kumar Mishra</t>
  </si>
  <si>
    <t>BALRAMPUR</t>
  </si>
  <si>
    <t>IT016508</t>
  </si>
  <si>
    <t>736370</t>
  </si>
  <si>
    <t>Kunal Singh</t>
  </si>
  <si>
    <t>BARABANKI</t>
  </si>
  <si>
    <t>IT016514</t>
  </si>
  <si>
    <t>735278</t>
  </si>
  <si>
    <t>Ramendra Kumar Srivastava</t>
  </si>
  <si>
    <t>GOLA</t>
  </si>
  <si>
    <t>IT016516</t>
  </si>
  <si>
    <t>736307</t>
  </si>
  <si>
    <t>Arpit Srivastava</t>
  </si>
  <si>
    <t>HARDOI</t>
  </si>
  <si>
    <t>IT016518</t>
  </si>
  <si>
    <t>737721</t>
  </si>
  <si>
    <t>Ambika Singh</t>
  </si>
  <si>
    <t>KANNAUJ</t>
  </si>
  <si>
    <t>IT016524</t>
  </si>
  <si>
    <t>732618</t>
  </si>
  <si>
    <t>Mohammad Saqib</t>
  </si>
  <si>
    <t>PILIBHIT</t>
  </si>
  <si>
    <t>MONTH_GROUP_KENACORT_% Ach_Value Not achived</t>
  </si>
  <si>
    <t>MONTH_GROUP_TIXYLIX_% Ach_Value Not achived</t>
  </si>
  <si>
    <t>IT016527</t>
  </si>
  <si>
    <t>733784</t>
  </si>
  <si>
    <t>Brijesh Kumar Pandey</t>
  </si>
  <si>
    <t>SIDDHARTHNAGAR</t>
  </si>
  <si>
    <t>IT023474</t>
  </si>
  <si>
    <t>738023</t>
  </si>
  <si>
    <t>Pradeep Kumar Gupta</t>
  </si>
  <si>
    <t>MAHARAJGANJ</t>
  </si>
  <si>
    <t>IT023475</t>
  </si>
  <si>
    <t>738103</t>
  </si>
  <si>
    <t>Shashank Pandey</t>
  </si>
  <si>
    <t>TANDA</t>
  </si>
  <si>
    <t>MONTH_GROUP_BETONIN_% Ach_Value Not achived, MONTH_GROUP_BETONIN_% Ach_Unit Not achived</t>
  </si>
  <si>
    <t>IA004115</t>
  </si>
  <si>
    <t>720372</t>
  </si>
  <si>
    <t>Srinivash Kumar Deepak</t>
  </si>
  <si>
    <t>MONTH_GROUP_STEMETIL_% Ach_Value Not achived</t>
  </si>
  <si>
    <t>IT016497</t>
  </si>
  <si>
    <t>739478</t>
  </si>
  <si>
    <t>Shivam Singh</t>
  </si>
  <si>
    <t>BHABUA</t>
  </si>
  <si>
    <t>IT016498</t>
  </si>
  <si>
    <t>737158</t>
  </si>
  <si>
    <t>Namami Shankar Mishra</t>
  </si>
  <si>
    <t>BUXAR</t>
  </si>
  <si>
    <t>IT016500</t>
  </si>
  <si>
    <t>737642</t>
  </si>
  <si>
    <t>Chandan Pushkar</t>
  </si>
  <si>
    <t>JEHANABAD</t>
  </si>
  <si>
    <t>Post_Month_% Ach Not achieved</t>
  </si>
  <si>
    <t>IT016510</t>
  </si>
  <si>
    <t>735117</t>
  </si>
  <si>
    <t>Awadhesh Kumar</t>
  </si>
  <si>
    <t>CHANDAULI</t>
  </si>
  <si>
    <t>IT016512</t>
  </si>
  <si>
    <t>736346</t>
  </si>
  <si>
    <t>Prashant Kumar Shukla</t>
  </si>
  <si>
    <t>FATEHPUR</t>
  </si>
  <si>
    <t>IT016519</t>
  </si>
  <si>
    <t>737533</t>
  </si>
  <si>
    <t>Jitendra Tripathi</t>
  </si>
  <si>
    <t>KARWI</t>
  </si>
  <si>
    <t>IT016521</t>
  </si>
  <si>
    <t>737584</t>
  </si>
  <si>
    <t>Vinay Kumar</t>
  </si>
  <si>
    <t>KOSAMBI</t>
  </si>
  <si>
    <t>IT016525</t>
  </si>
  <si>
    <t>734838</t>
  </si>
  <si>
    <t>Pankaj Mishra</t>
  </si>
  <si>
    <t>PRATAPGARH</t>
  </si>
  <si>
    <t>IT016526</t>
  </si>
  <si>
    <t>734710</t>
  </si>
  <si>
    <t>Jitendra Mishra</t>
  </si>
  <si>
    <t>ROBERTSGANJ</t>
  </si>
  <si>
    <t>ZN001733</t>
  </si>
  <si>
    <t>734096</t>
  </si>
  <si>
    <t>Badam Singh Yadav</t>
  </si>
  <si>
    <t>BHOPAL</t>
  </si>
  <si>
    <t>INDORE</t>
  </si>
  <si>
    <t>IA004114</t>
  </si>
  <si>
    <t>708254</t>
  </si>
  <si>
    <t>Ashwini Kumar</t>
  </si>
  <si>
    <t>PATNA</t>
  </si>
  <si>
    <t>IT016496</t>
  </si>
  <si>
    <t>737157</t>
  </si>
  <si>
    <t>Amresh Kumar</t>
  </si>
  <si>
    <t>SAMBHAJINAGAR1</t>
  </si>
  <si>
    <t>IT016499</t>
  </si>
  <si>
    <t>730077</t>
  </si>
  <si>
    <t>Deepak Kumar</t>
  </si>
  <si>
    <t>JAMUI</t>
  </si>
  <si>
    <t>Final % Ach Not achived, MONTH_GROUP_TIXYLIX_LS_% Ach_Value Not achived</t>
  </si>
  <si>
    <t>IT016501</t>
  </si>
  <si>
    <t>733265</t>
  </si>
  <si>
    <t>Amrit Kumar</t>
  </si>
  <si>
    <t>KHAGARIA</t>
  </si>
  <si>
    <t>IT016502</t>
  </si>
  <si>
    <t>737891</t>
  </si>
  <si>
    <t>Rajesh Thakur</t>
  </si>
  <si>
    <t>LALGANJ</t>
  </si>
  <si>
    <t>IT016503</t>
  </si>
  <si>
    <t>731081</t>
  </si>
  <si>
    <t>Kundan Kumar Singh</t>
  </si>
  <si>
    <t>MUNGER</t>
  </si>
  <si>
    <t>IT016504</t>
  </si>
  <si>
    <t>735166</t>
  </si>
  <si>
    <t>Raman Kumar Chanchal</t>
  </si>
  <si>
    <t>NARKATIAGANJ</t>
  </si>
  <si>
    <t>IT016505</t>
  </si>
  <si>
    <t>736308</t>
  </si>
  <si>
    <t>Balmukund Pandey</t>
  </si>
  <si>
    <t>NAWADA</t>
  </si>
  <si>
    <t>IT016506</t>
  </si>
  <si>
    <t>732789</t>
  </si>
  <si>
    <t>Prashant Kumar</t>
  </si>
  <si>
    <t>SUPAUL</t>
  </si>
  <si>
    <t>IT019204</t>
  </si>
  <si>
    <t>737585</t>
  </si>
  <si>
    <t>Priyanshu Kumar</t>
  </si>
  <si>
    <t>SAMBHAJINAGAR2</t>
  </si>
  <si>
    <t>MONTH_GROUP_BETONIN_% Ach_Unit Not achived</t>
  </si>
  <si>
    <t>IA004660</t>
  </si>
  <si>
    <t>720365</t>
  </si>
  <si>
    <t>Deepak Bhargawa</t>
  </si>
  <si>
    <t>IT018855</t>
  </si>
  <si>
    <t>737045</t>
  </si>
  <si>
    <t>Yash Kumar Chaturvedi</t>
  </si>
  <si>
    <t>VIDISHA</t>
  </si>
  <si>
    <t>IT018856</t>
  </si>
  <si>
    <t>737703</t>
  </si>
  <si>
    <t>Nepal Singh</t>
  </si>
  <si>
    <t>ASHOKNAGAR</t>
  </si>
  <si>
    <t>IT018857</t>
  </si>
  <si>
    <t>739413</t>
  </si>
  <si>
    <t>Neeraj Pal</t>
  </si>
  <si>
    <t>PANNA</t>
  </si>
  <si>
    <t>IT018858</t>
  </si>
  <si>
    <t>734877</t>
  </si>
  <si>
    <t>Rajeev Sharma</t>
  </si>
  <si>
    <t>SHEOPUR</t>
  </si>
  <si>
    <t>MONTH_GROUP_TIXYLIX_% Ach_Value Not achived, Final % Ach Not achived</t>
  </si>
  <si>
    <t>IT018859</t>
  </si>
  <si>
    <t>734871</t>
  </si>
  <si>
    <t>Rahul Dave</t>
  </si>
  <si>
    <t>BURHANPUR</t>
  </si>
  <si>
    <t>IT018860</t>
  </si>
  <si>
    <t>734870</t>
  </si>
  <si>
    <t>Devraj Dangi</t>
  </si>
  <si>
    <t>BIAORA</t>
  </si>
  <si>
    <t>IT018862</t>
  </si>
  <si>
    <t>735327</t>
  </si>
  <si>
    <t>Abhishek Kumar Jhariya</t>
  </si>
  <si>
    <t>MANDLA</t>
  </si>
  <si>
    <t>IT018867</t>
  </si>
  <si>
    <t>736936</t>
  </si>
  <si>
    <t>Manoj Patidar</t>
  </si>
  <si>
    <t>NEEMUCH</t>
  </si>
  <si>
    <t>IT018868</t>
  </si>
  <si>
    <t>734869</t>
  </si>
  <si>
    <t>Lakhan Vishwkarma</t>
  </si>
  <si>
    <t>AGAR</t>
  </si>
  <si>
    <t>IT024287</t>
  </si>
  <si>
    <t>739348</t>
  </si>
  <si>
    <t>Aayush Chourasiya</t>
  </si>
  <si>
    <t>NARSINGHPUR</t>
  </si>
  <si>
    <t>DOJ not eligible, Final % Ach Not achieved</t>
  </si>
  <si>
    <t>New Employee, Joinee bonus achievement not met</t>
  </si>
  <si>
    <t>IA005452</t>
  </si>
  <si>
    <t>737722</t>
  </si>
  <si>
    <t>Rahul Kumar Singh</t>
  </si>
  <si>
    <t>RAIPUR</t>
  </si>
  <si>
    <t>IT018634</t>
  </si>
  <si>
    <t>739488</t>
  </si>
  <si>
    <t>Ashwin Kumar Tandasi</t>
  </si>
  <si>
    <t>PARLEKHMUNDI</t>
  </si>
  <si>
    <t>IT018685</t>
  </si>
  <si>
    <t>738445</t>
  </si>
  <si>
    <t>Dilip Kumar Padhan</t>
  </si>
  <si>
    <t>NUAPADA</t>
  </si>
  <si>
    <t>IT018723</t>
  </si>
  <si>
    <t>730370</t>
  </si>
  <si>
    <t>Ashok Sahoo</t>
  </si>
  <si>
    <t>JAGATSINGHPUR</t>
  </si>
  <si>
    <t>IT018854</t>
  </si>
  <si>
    <t>732646</t>
  </si>
  <si>
    <t>Manoj Mishra</t>
  </si>
  <si>
    <t>SIDHI</t>
  </si>
  <si>
    <t>IT018861</t>
  </si>
  <si>
    <t>734879</t>
  </si>
  <si>
    <t>Amit Kushwaha</t>
  </si>
  <si>
    <t>SHAHDOL</t>
  </si>
  <si>
    <t>IT018863</t>
  </si>
  <si>
    <t>735893</t>
  </si>
  <si>
    <t>Devendra Sahu</t>
  </si>
  <si>
    <t>KORBA</t>
  </si>
  <si>
    <t>IT018864</t>
  </si>
  <si>
    <t>736016</t>
  </si>
  <si>
    <t>Deepak Kumar Sahu</t>
  </si>
  <si>
    <t>KAWARDHA</t>
  </si>
  <si>
    <t>IT018865</t>
  </si>
  <si>
    <t>737704</t>
  </si>
  <si>
    <t>Rajesh Kumar</t>
  </si>
  <si>
    <t>MANENDRAGARH</t>
  </si>
  <si>
    <t>IT018866</t>
  </si>
  <si>
    <t>0</t>
  </si>
  <si>
    <t>NOT ASSIGNED</t>
  </si>
  <si>
    <t>JAGDALPUR</t>
  </si>
  <si>
    <t>Not assigned, DOJ not eligible, Final % Ach Not achieved</t>
  </si>
  <si>
    <t>Not assigned, Mid_Month % Ach Not achieved, Final % Ach Not achieved</t>
  </si>
  <si>
    <t>Not assigned, New Employee, Joinee bonus achievement not met</t>
  </si>
  <si>
    <t>Not assigned, MONTH_GROUP_BETONIN_% Ach_Value Not achived, MONTH_GROUP_BETONIN_% Ach_Unit Not achived, Final % Ach Not achived</t>
  </si>
  <si>
    <t>Not assigned, MONTH_GROUP_KENACORT_% Ach_Value Not achived, Final % Ach Not achived</t>
  </si>
  <si>
    <t>Not assigned, Final MONTH_GROUP_STEMETIL_% Ach_Value Not achived, Final % Ach Not achived</t>
  </si>
  <si>
    <t>Not assigned, MONTH_GROUP_TIXYLIX_% Ach_Value Not achived, Final % Ach Not achived, MONTH_GROUP_TIXYLIX_LS_% Ach_Value Not achived</t>
  </si>
  <si>
    <t>IT023669</t>
  </si>
  <si>
    <t>738444</t>
  </si>
  <si>
    <t>Shripal Sahu</t>
  </si>
  <si>
    <t>SINGRAULI</t>
  </si>
  <si>
    <t>ZN001912</t>
  </si>
  <si>
    <t>BLANK</t>
  </si>
  <si>
    <t>NEW ZN</t>
  </si>
  <si>
    <t>Not assigned, DOJ not eligible, Final % Ach Not achieved, MONTH_GROUP_FOCUS_ICONIC_% Ach_Value Not achieved</t>
  </si>
  <si>
    <t>Not assigned, Designation Not Applicable</t>
  </si>
  <si>
    <t>Not assigned, New Employee, Designation Not Applicable</t>
  </si>
  <si>
    <t>['Not assigned', 'Designation Not Applicable']</t>
  </si>
  <si>
    <t>IA005713</t>
  </si>
  <si>
    <t>723933</t>
  </si>
  <si>
    <t>Satish Ram Kambar</t>
  </si>
  <si>
    <t>HUBLI</t>
  </si>
  <si>
    <t>IT024288</t>
  </si>
  <si>
    <t>739435</t>
  </si>
  <si>
    <t>Abu Faiz</t>
  </si>
  <si>
    <t>DUMMY</t>
  </si>
  <si>
    <t>BAGALKOTE</t>
  </si>
  <si>
    <t>DOJ not eligible, Final % Ach Not achieved, Post_Month_% Ach Not achieved</t>
  </si>
  <si>
    <t>IT024289</t>
  </si>
  <si>
    <t>739275</t>
  </si>
  <si>
    <t>Shaikh Khaja Mainuddin</t>
  </si>
  <si>
    <t>GANGAVATI</t>
  </si>
  <si>
    <t>IT024290</t>
  </si>
  <si>
    <t>739276</t>
  </si>
  <si>
    <t>Rakesha A M</t>
  </si>
  <si>
    <t>CHIKKABALLAPURA</t>
  </si>
  <si>
    <t>IT024291</t>
  </si>
  <si>
    <t>739204</t>
  </si>
  <si>
    <t>Srinivasalu B S</t>
  </si>
  <si>
    <t>TIPTUR</t>
  </si>
  <si>
    <t>IT024292</t>
  </si>
  <si>
    <t>739274</t>
  </si>
  <si>
    <t>Shodhan J S</t>
  </si>
  <si>
    <t>CHIKMAGALUR</t>
  </si>
  <si>
    <t>IT024343</t>
  </si>
  <si>
    <t>739179</t>
  </si>
  <si>
    <t>Jagamohan M G</t>
  </si>
  <si>
    <t>HASSAN</t>
  </si>
  <si>
    <t>IT024344</t>
  </si>
  <si>
    <t>739399</t>
  </si>
  <si>
    <t>Shivakumar P M</t>
  </si>
  <si>
    <t>KOLAR</t>
  </si>
  <si>
    <t>IT024351</t>
  </si>
  <si>
    <t>739308</t>
  </si>
  <si>
    <t>Bhaskar Naik Lotavath</t>
  </si>
  <si>
    <t>TADIPATRI</t>
  </si>
  <si>
    <t>IT024366</t>
  </si>
  <si>
    <t>739205</t>
  </si>
  <si>
    <t>Harinath Jakki</t>
  </si>
  <si>
    <t>MARKAPURAM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</si>
</sst>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66FF"/>
        <bgColor indexed="64"/>
      </patternFill>
    </fill>
    <fill>
      <patternFill patternType="solid">
        <fgColor rgb="FF00FF99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/>
    </xf>
    <xf numFmtId="164" fontId="2" fillId="2" borderId="1" xfId="0" applyNumberFormat="1" applyFont="1" applyFill="1" applyBorder="1" applyAlignment="1">
      <alignment horizontal="center"/>
    </xf>
    <xf numFmtId="0" fontId="2" fillId="2" borderId="1" xfId="0" applyFont="1" applyFill="1" applyBorder="1"/>
    <xf numFmtId="0" fontId="3" fillId="3" borderId="1" xfId="0" applyFont="1" applyFill="1" applyBorder="1" applyAlignment="1">
      <alignment horizontal="center"/>
    </xf>
    <xf numFmtId="164" fontId="3" fillId="3" borderId="1" xfId="0" applyNumberFormat="1" applyFont="1" applyFill="1" applyBorder="1" applyAlignment="1">
      <alignment horizontal="center"/>
    </xf>
    <xf numFmtId="0" fontId="3" fillId="3" borderId="1" xfId="0" applyFont="1" applyFill="1" applyBorder="1"/>
    <xf numFmtId="0" fontId="3" fillId="4" borderId="1" xfId="0" applyFont="1" applyFill="1" applyBorder="1" applyAlignment="1">
      <alignment horizontal="center"/>
    </xf>
    <xf numFmtId="164" fontId="3" fillId="4" borderId="1" xfId="0" applyNumberFormat="1" applyFont="1" applyFill="1" applyBorder="1" applyAlignment="1">
      <alignment horizontal="center"/>
    </xf>
    <xf numFmtId="0" fontId="3" fillId="4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abbott-my.sharepoint.com/personal/kuldeep_gulave_abbott_com/Documents/DRIVE%20E/BIU/Asha/Commission/2025/Q2/May'25%20Commission%20Working.xlsx" TargetMode="External"/><Relationship Id="rId1" Type="http://schemas.openxmlformats.org/officeDocument/2006/relationships/externalLinkPath" Target="https://abbott-my.sharepoint.com/personal/kuldeep_gulave_abbott_com/Documents/DRIVE%20E/BIU/Asha/Commission/2025/Q2/May'25%20Commission%20Work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Working"/>
      <sheetName val="Betonin AST Working"/>
      <sheetName val="Table"/>
      <sheetName val="Jun"/>
    </sheetNames>
    <sheetDataSet>
      <sheetData sheetId="0">
        <row r="1">
          <cell r="DC1">
            <v>791376.53682672023</v>
          </cell>
        </row>
        <row r="3">
          <cell r="E3" t="str">
            <v>Emp No</v>
          </cell>
          <cell r="DC3" t="str">
            <v>Total
Commission</v>
          </cell>
        </row>
        <row r="4">
          <cell r="E4">
            <v>102718</v>
          </cell>
          <cell r="DC4">
            <v>13000</v>
          </cell>
        </row>
        <row r="5">
          <cell r="E5">
            <v>723932</v>
          </cell>
          <cell r="DC5">
            <v>0</v>
          </cell>
        </row>
        <row r="6">
          <cell r="E6">
            <v>738353</v>
          </cell>
          <cell r="DC6">
            <v>17572.543525830006</v>
          </cell>
        </row>
        <row r="7">
          <cell r="E7">
            <v>735598</v>
          </cell>
          <cell r="DC7">
            <v>1800</v>
          </cell>
        </row>
        <row r="8">
          <cell r="E8">
            <v>739338</v>
          </cell>
          <cell r="DC8">
            <v>10042.268987291001</v>
          </cell>
        </row>
        <row r="9">
          <cell r="E9">
            <v>737128</v>
          </cell>
          <cell r="DC9">
            <v>20893.147627829992</v>
          </cell>
        </row>
        <row r="10">
          <cell r="E10">
            <v>732804</v>
          </cell>
          <cell r="DC10">
            <v>25071.419312500013</v>
          </cell>
        </row>
        <row r="11">
          <cell r="E11">
            <v>735308</v>
          </cell>
          <cell r="DC11">
            <v>24859.252159999989</v>
          </cell>
        </row>
        <row r="12">
          <cell r="E12">
            <v>737926</v>
          </cell>
          <cell r="DC12">
            <v>21028.740279999995</v>
          </cell>
        </row>
        <row r="13">
          <cell r="E13">
            <v>736681</v>
          </cell>
          <cell r="DC13">
            <v>0</v>
          </cell>
        </row>
        <row r="14">
          <cell r="E14">
            <v>735277</v>
          </cell>
          <cell r="DC14">
            <v>25071.419312500013</v>
          </cell>
        </row>
        <row r="15">
          <cell r="E15">
            <v>738104</v>
          </cell>
          <cell r="DC15">
            <v>18124.742968548002</v>
          </cell>
        </row>
        <row r="16">
          <cell r="E16">
            <v>735728</v>
          </cell>
          <cell r="DC16">
            <v>0</v>
          </cell>
        </row>
        <row r="17">
          <cell r="E17">
            <v>704779</v>
          </cell>
          <cell r="DC17">
            <v>0</v>
          </cell>
        </row>
        <row r="18">
          <cell r="E18">
            <v>736370</v>
          </cell>
          <cell r="DC18">
            <v>0</v>
          </cell>
        </row>
        <row r="19">
          <cell r="E19">
            <v>735278</v>
          </cell>
          <cell r="DC19">
            <v>19840.590413962007</v>
          </cell>
        </row>
        <row r="20">
          <cell r="E20">
            <v>736307</v>
          </cell>
          <cell r="DC20">
            <v>4000</v>
          </cell>
        </row>
        <row r="21">
          <cell r="E21">
            <v>737721</v>
          </cell>
          <cell r="DC21">
            <v>15695.063199999991</v>
          </cell>
        </row>
        <row r="22">
          <cell r="E22">
            <v>732618</v>
          </cell>
          <cell r="DC22">
            <v>17951.154421309999</v>
          </cell>
        </row>
        <row r="23">
          <cell r="E23">
            <v>733784</v>
          </cell>
          <cell r="DC23">
            <v>23334.376704024999</v>
          </cell>
        </row>
        <row r="24">
          <cell r="E24">
            <v>738023</v>
          </cell>
          <cell r="DC24">
            <v>14071.70267619201</v>
          </cell>
        </row>
        <row r="25">
          <cell r="E25">
            <v>738103</v>
          </cell>
          <cell r="DC25">
            <v>15983.875191816</v>
          </cell>
        </row>
        <row r="26">
          <cell r="E26">
            <v>720372</v>
          </cell>
          <cell r="DC26">
            <v>30063.974229166797</v>
          </cell>
        </row>
        <row r="27">
          <cell r="E27">
            <v>739478</v>
          </cell>
          <cell r="DC27">
            <v>15460.704844127005</v>
          </cell>
        </row>
        <row r="28">
          <cell r="E28">
            <v>737158</v>
          </cell>
          <cell r="DC28">
            <v>0</v>
          </cell>
        </row>
        <row r="29">
          <cell r="E29">
            <v>737642</v>
          </cell>
          <cell r="DC29">
            <v>2925</v>
          </cell>
        </row>
        <row r="30">
          <cell r="E30">
            <v>735117</v>
          </cell>
          <cell r="DC30">
            <v>0</v>
          </cell>
        </row>
        <row r="31">
          <cell r="E31">
            <v>736346</v>
          </cell>
          <cell r="DC31">
            <v>14858.047276125002</v>
          </cell>
        </row>
        <row r="32">
          <cell r="E32">
            <v>737533</v>
          </cell>
          <cell r="DC32">
            <v>20528.666749365009</v>
          </cell>
        </row>
        <row r="33">
          <cell r="E33">
            <v>737584</v>
          </cell>
          <cell r="DC33">
            <v>20564.641939906011</v>
          </cell>
        </row>
        <row r="34">
          <cell r="E34">
            <v>734838</v>
          </cell>
          <cell r="DC34">
            <v>26117.97445935</v>
          </cell>
        </row>
        <row r="35">
          <cell r="E35">
            <v>734710</v>
          </cell>
          <cell r="DC35">
            <v>18813.775337499992</v>
          </cell>
        </row>
        <row r="36">
          <cell r="E36">
            <v>734096</v>
          </cell>
          <cell r="DC36">
            <v>0</v>
          </cell>
        </row>
        <row r="37">
          <cell r="E37">
            <v>708254</v>
          </cell>
          <cell r="DC37">
            <v>30839.955656511404</v>
          </cell>
        </row>
        <row r="38">
          <cell r="E38">
            <v>737157</v>
          </cell>
          <cell r="DC38">
            <v>17709.306087817997</v>
          </cell>
        </row>
        <row r="39">
          <cell r="E39">
            <v>730077</v>
          </cell>
          <cell r="DC39">
            <v>0</v>
          </cell>
        </row>
        <row r="40">
          <cell r="E40">
            <v>733265</v>
          </cell>
          <cell r="DC40">
            <v>16329.95182292499</v>
          </cell>
        </row>
        <row r="41">
          <cell r="E41">
            <v>737891</v>
          </cell>
          <cell r="DC41">
            <v>11509.771642876007</v>
          </cell>
        </row>
        <row r="42">
          <cell r="E42">
            <v>731081</v>
          </cell>
          <cell r="DC42">
            <v>22809.32146380399</v>
          </cell>
        </row>
        <row r="43">
          <cell r="E43">
            <v>735166</v>
          </cell>
          <cell r="DC43">
            <v>12510.55898228001</v>
          </cell>
        </row>
        <row r="44">
          <cell r="E44">
            <v>736308</v>
          </cell>
          <cell r="DC44">
            <v>16764.224574999989</v>
          </cell>
        </row>
        <row r="45">
          <cell r="E45">
            <v>732789</v>
          </cell>
          <cell r="DC45">
            <v>24821.838799999994</v>
          </cell>
        </row>
        <row r="46">
          <cell r="E46">
            <v>737585</v>
          </cell>
          <cell r="DC46">
            <v>17547.8428375</v>
          </cell>
        </row>
        <row r="47">
          <cell r="E47">
            <v>720365</v>
          </cell>
          <cell r="DC47">
            <v>0</v>
          </cell>
        </row>
        <row r="48">
          <cell r="E48">
            <v>737045</v>
          </cell>
          <cell r="DC48">
            <v>0</v>
          </cell>
        </row>
        <row r="49">
          <cell r="E49">
            <v>737703</v>
          </cell>
          <cell r="DC49">
            <v>0</v>
          </cell>
        </row>
        <row r="50">
          <cell r="E50">
            <v>739413</v>
          </cell>
          <cell r="DC50">
            <v>17018.419370546002</v>
          </cell>
        </row>
        <row r="51">
          <cell r="E51">
            <v>734877</v>
          </cell>
          <cell r="DC51">
            <v>0</v>
          </cell>
        </row>
        <row r="52">
          <cell r="E52">
            <v>734871</v>
          </cell>
          <cell r="DC52">
            <v>22511.719904164995</v>
          </cell>
        </row>
        <row r="53">
          <cell r="E53">
            <v>734870</v>
          </cell>
          <cell r="DC53">
            <v>26000</v>
          </cell>
        </row>
        <row r="54">
          <cell r="E54">
            <v>735327</v>
          </cell>
          <cell r="DC54">
            <v>14894.519825000008</v>
          </cell>
        </row>
        <row r="55">
          <cell r="E55">
            <v>736936</v>
          </cell>
          <cell r="DC55">
            <v>0</v>
          </cell>
        </row>
        <row r="56">
          <cell r="E56">
            <v>734869</v>
          </cell>
          <cell r="DC56">
            <v>4425</v>
          </cell>
        </row>
        <row r="57">
          <cell r="E57">
            <v>739348</v>
          </cell>
          <cell r="DC57">
            <v>0</v>
          </cell>
        </row>
        <row r="58">
          <cell r="E58">
            <v>737722</v>
          </cell>
          <cell r="DC58">
            <v>0</v>
          </cell>
        </row>
        <row r="59">
          <cell r="E59">
            <v>739488</v>
          </cell>
          <cell r="DC59">
            <v>12194.980044791002</v>
          </cell>
        </row>
        <row r="60">
          <cell r="E60">
            <v>738445</v>
          </cell>
          <cell r="DC60">
            <v>9921.8354875740006</v>
          </cell>
        </row>
        <row r="61">
          <cell r="E61">
            <v>730370</v>
          </cell>
          <cell r="DC61">
            <v>0</v>
          </cell>
        </row>
        <row r="62">
          <cell r="E62">
            <v>732646</v>
          </cell>
          <cell r="DC62">
            <v>24440.446459207989</v>
          </cell>
        </row>
        <row r="63">
          <cell r="E63">
            <v>734879</v>
          </cell>
          <cell r="DC63">
            <v>0</v>
          </cell>
        </row>
        <row r="64">
          <cell r="E64">
            <v>735893</v>
          </cell>
          <cell r="DC64">
            <v>0</v>
          </cell>
        </row>
        <row r="65">
          <cell r="E65">
            <v>736016</v>
          </cell>
          <cell r="DC65">
            <v>17753.279280802006</v>
          </cell>
        </row>
        <row r="66">
          <cell r="E66">
            <v>737704</v>
          </cell>
          <cell r="DC66">
            <v>17478.384697143993</v>
          </cell>
        </row>
        <row r="67">
          <cell r="E67">
            <v>0</v>
          </cell>
          <cell r="DC67">
            <v>0</v>
          </cell>
        </row>
        <row r="68">
          <cell r="E68">
            <v>738444</v>
          </cell>
          <cell r="DC68">
            <v>16222.098271431996</v>
          </cell>
        </row>
        <row r="69">
          <cell r="E69">
            <v>0</v>
          </cell>
          <cell r="DC69">
            <v>0</v>
          </cell>
        </row>
        <row r="70">
          <cell r="E70">
            <v>723933</v>
          </cell>
          <cell r="DC70">
            <v>0</v>
          </cell>
        </row>
        <row r="71">
          <cell r="E71">
            <v>739435</v>
          </cell>
          <cell r="DC71">
            <v>0</v>
          </cell>
        </row>
        <row r="72">
          <cell r="E72">
            <v>739275</v>
          </cell>
          <cell r="DC72">
            <v>0</v>
          </cell>
        </row>
        <row r="73">
          <cell r="E73">
            <v>739276</v>
          </cell>
          <cell r="DC73">
            <v>0</v>
          </cell>
        </row>
        <row r="74">
          <cell r="E74">
            <v>739204</v>
          </cell>
          <cell r="DC74">
            <v>0</v>
          </cell>
        </row>
        <row r="75">
          <cell r="E75">
            <v>739274</v>
          </cell>
          <cell r="DC75">
            <v>0</v>
          </cell>
        </row>
        <row r="76">
          <cell r="E76">
            <v>739179</v>
          </cell>
          <cell r="DC76">
            <v>0</v>
          </cell>
        </row>
        <row r="77">
          <cell r="E77">
            <v>739399</v>
          </cell>
          <cell r="DC77">
            <v>0</v>
          </cell>
        </row>
        <row r="78">
          <cell r="E78">
            <v>739308</v>
          </cell>
          <cell r="DC78">
            <v>0</v>
          </cell>
        </row>
        <row r="79">
          <cell r="E79">
            <v>739205</v>
          </cell>
          <cell r="DC79">
            <v>0</v>
          </cell>
        </row>
      </sheetData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R77"/>
  <sheetViews>
    <sheetView tabSelected="1" topLeftCell="CO1" workbookViewId="0">
      <selection activeCell="CQ1" sqref="CQ1"/>
    </sheetView>
  </sheetViews>
  <sheetFormatPr defaultRowHeight="14.5" x14ac:dyDescent="0.35"/>
  <cols>
    <col min="1" max="1" width="5.36328125" bestFit="1" customWidth="1"/>
    <col min="2" max="2" width="7.6328125" bestFit="1" customWidth="1"/>
    <col min="3" max="3" width="14.54296875" bestFit="1" customWidth="1"/>
    <col min="4" max="4" width="15.1796875" bestFit="1" customWidth="1"/>
    <col min="5" max="5" width="18.1796875" bestFit="1" customWidth="1"/>
    <col min="6" max="6" width="18" bestFit="1" customWidth="1"/>
    <col min="7" max="7" width="9.1796875" bestFit="1" customWidth="1"/>
    <col min="8" max="8" width="15.90625" bestFit="1" customWidth="1"/>
    <col min="9" max="9" width="24" bestFit="1" customWidth="1"/>
    <col min="10" max="10" width="12.81640625" bestFit="1" customWidth="1"/>
    <col min="11" max="11" width="18.08984375" bestFit="1" customWidth="1"/>
    <col min="12" max="12" width="9.36328125" bestFit="1" customWidth="1"/>
    <col min="13" max="13" width="16.81640625" bestFit="1" customWidth="1"/>
    <col min="14" max="14" width="15.1796875" bestFit="1" customWidth="1"/>
    <col min="15" max="15" width="5.1796875" bestFit="1" customWidth="1"/>
    <col min="16" max="16" width="11.36328125" bestFit="1" customWidth="1"/>
    <col min="17" max="17" width="11.90625" bestFit="1" customWidth="1"/>
    <col min="18" max="18" width="13.36328125" bestFit="1" customWidth="1"/>
    <col min="19" max="19" width="12.08984375" bestFit="1" customWidth="1"/>
    <col min="20" max="20" width="8" bestFit="1" customWidth="1"/>
    <col min="21" max="21" width="15.1796875" bestFit="1" customWidth="1"/>
    <col min="22" max="22" width="16.08984375" bestFit="1" customWidth="1"/>
    <col min="23" max="23" width="15.90625" bestFit="1" customWidth="1"/>
    <col min="24" max="24" width="7" bestFit="1" customWidth="1"/>
    <col min="25" max="25" width="8" bestFit="1" customWidth="1"/>
    <col min="26" max="26" width="16.81640625" bestFit="1" customWidth="1"/>
    <col min="27" max="27" width="22" bestFit="1" customWidth="1"/>
    <col min="28" max="28" width="22.1796875" bestFit="1" customWidth="1"/>
    <col min="29" max="29" width="23.81640625" bestFit="1" customWidth="1"/>
    <col min="30" max="30" width="21.08984375" bestFit="1" customWidth="1"/>
    <col min="31" max="31" width="21.453125" bestFit="1" customWidth="1"/>
    <col min="32" max="32" width="23" bestFit="1" customWidth="1"/>
    <col min="33" max="33" width="31.90625" bestFit="1" customWidth="1"/>
    <col min="34" max="34" width="34.81640625" bestFit="1" customWidth="1"/>
    <col min="35" max="35" width="9.90625" bestFit="1" customWidth="1"/>
    <col min="37" max="37" width="16.08984375" bestFit="1" customWidth="1"/>
    <col min="38" max="38" width="7.08984375" bestFit="1" customWidth="1"/>
    <col min="39" max="39" width="18" bestFit="1" customWidth="1"/>
    <col min="40" max="40" width="16.81640625" bestFit="1" customWidth="1"/>
    <col min="41" max="41" width="17.81640625" bestFit="1" customWidth="1"/>
    <col min="42" max="42" width="8.453125" bestFit="1" customWidth="1"/>
    <col min="43" max="43" width="8.1796875" bestFit="1" customWidth="1"/>
    <col min="44" max="44" width="31.81640625" bestFit="1" customWidth="1"/>
    <col min="45" max="45" width="28" bestFit="1" customWidth="1"/>
    <col min="46" max="46" width="10.08984375" bestFit="1" customWidth="1"/>
    <col min="47" max="47" width="10.453125" bestFit="1" customWidth="1"/>
    <col min="48" max="48" width="18.1796875" bestFit="1" customWidth="1"/>
    <col min="49" max="49" width="99.08984375" bestFit="1" customWidth="1"/>
    <col min="50" max="50" width="22.6328125" bestFit="1" customWidth="1"/>
    <col min="51" max="51" width="61" bestFit="1" customWidth="1"/>
    <col min="52" max="52" width="22.6328125" bestFit="1" customWidth="1"/>
    <col min="53" max="53" width="55" bestFit="1" customWidth="1"/>
    <col min="54" max="54" width="36.1796875" bestFit="1" customWidth="1"/>
    <col min="55" max="55" width="35.08984375" bestFit="1" customWidth="1"/>
    <col min="56" max="56" width="36" bestFit="1" customWidth="1"/>
    <col min="57" max="57" width="35" bestFit="1" customWidth="1"/>
    <col min="58" max="58" width="33.90625" bestFit="1" customWidth="1"/>
    <col min="59" max="59" width="34.81640625" bestFit="1" customWidth="1"/>
    <col min="60" max="60" width="24" bestFit="1" customWidth="1"/>
    <col min="61" max="61" width="29.6328125" bestFit="1" customWidth="1"/>
    <col min="62" max="62" width="123.08984375" bestFit="1" customWidth="1"/>
    <col min="63" max="63" width="41.36328125" bestFit="1" customWidth="1"/>
    <col min="64" max="64" width="40.1796875" bestFit="1" customWidth="1"/>
    <col min="65" max="65" width="41.08984375" bestFit="1" customWidth="1"/>
    <col min="66" max="66" width="37.90625" bestFit="1" customWidth="1"/>
    <col min="67" max="67" width="36.6328125" bestFit="1" customWidth="1"/>
    <col min="68" max="68" width="37.54296875" bestFit="1" customWidth="1"/>
    <col min="69" max="69" width="25.6328125" bestFit="1" customWidth="1"/>
    <col min="70" max="70" width="31.1796875" bestFit="1" customWidth="1"/>
    <col min="71" max="71" width="79.6328125" bestFit="1" customWidth="1"/>
    <col min="72" max="72" width="16.81640625" bestFit="1" customWidth="1"/>
    <col min="73" max="73" width="17" bestFit="1" customWidth="1"/>
    <col min="74" max="74" width="18.6328125" bestFit="1" customWidth="1"/>
    <col min="75" max="75" width="30.453125" bestFit="1" customWidth="1"/>
    <col min="76" max="76" width="36.81640625" bestFit="1" customWidth="1"/>
    <col min="77" max="77" width="35.6328125" bestFit="1" customWidth="1"/>
    <col min="78" max="78" width="36.54296875" bestFit="1" customWidth="1"/>
    <col min="79" max="79" width="40.08984375" bestFit="1" customWidth="1"/>
    <col min="80" max="80" width="41" bestFit="1" customWidth="1"/>
    <col min="81" max="81" width="24.54296875" bestFit="1" customWidth="1"/>
    <col min="82" max="82" width="30.1796875" bestFit="1" customWidth="1"/>
    <col min="83" max="83" width="83" bestFit="1" customWidth="1"/>
    <col min="84" max="84" width="34.81640625" bestFit="1" customWidth="1"/>
    <col min="85" max="85" width="33.6328125" bestFit="1" customWidth="1"/>
    <col min="86" max="86" width="34.54296875" bestFit="1" customWidth="1"/>
    <col min="87" max="87" width="37.81640625" bestFit="1" customWidth="1"/>
    <col min="88" max="88" width="36.54296875" bestFit="1" customWidth="1"/>
    <col min="89" max="89" width="37.453125" bestFit="1" customWidth="1"/>
    <col min="90" max="90" width="22.54296875" bestFit="1" customWidth="1"/>
    <col min="91" max="91" width="28.08984375" bestFit="1" customWidth="1"/>
    <col min="92" max="92" width="123.6328125" bestFit="1" customWidth="1"/>
    <col min="93" max="93" width="13.1796875" bestFit="1" customWidth="1"/>
  </cols>
  <sheetData>
    <row r="1" spans="1:9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</row>
    <row r="2" spans="1:96" x14ac:dyDescent="0.35">
      <c r="A2" s="3" t="s">
        <v>93</v>
      </c>
      <c r="B2" s="3" t="s">
        <v>94</v>
      </c>
      <c r="C2" s="3">
        <v>92</v>
      </c>
      <c r="D2" s="3" t="s">
        <v>95</v>
      </c>
      <c r="E2" s="3"/>
      <c r="F2" s="3" t="s">
        <v>96</v>
      </c>
      <c r="G2" s="3" t="s">
        <v>96</v>
      </c>
      <c r="H2" s="3" t="s">
        <v>97</v>
      </c>
      <c r="I2" s="3" t="s">
        <v>98</v>
      </c>
      <c r="J2" s="3" t="s">
        <v>99</v>
      </c>
      <c r="K2" s="4">
        <v>36526</v>
      </c>
      <c r="L2" s="3" t="s">
        <v>100</v>
      </c>
      <c r="M2" s="3" t="s">
        <v>100</v>
      </c>
      <c r="N2" s="3"/>
      <c r="O2" s="3">
        <v>28</v>
      </c>
      <c r="P2" s="5" t="s">
        <v>101</v>
      </c>
      <c r="Q2" s="5" t="s">
        <v>102</v>
      </c>
      <c r="R2" s="5">
        <v>13854814</v>
      </c>
      <c r="S2" s="5">
        <v>13216303</v>
      </c>
      <c r="T2" s="5">
        <v>95.391000000000005</v>
      </c>
      <c r="U2" s="5">
        <v>13546166</v>
      </c>
      <c r="V2" s="5">
        <v>97.772000000000006</v>
      </c>
      <c r="W2" s="5">
        <v>0</v>
      </c>
      <c r="X2" s="5">
        <v>201271</v>
      </c>
      <c r="Y2" s="5">
        <v>25664</v>
      </c>
      <c r="Z2" s="5">
        <v>0</v>
      </c>
      <c r="AA2" s="5">
        <v>733830</v>
      </c>
      <c r="AB2" s="5">
        <v>1095617</v>
      </c>
      <c r="AC2" s="5">
        <v>149.30099999999999</v>
      </c>
      <c r="AD2" s="5">
        <v>399232</v>
      </c>
      <c r="AE2" s="5">
        <v>357713</v>
      </c>
      <c r="AF2" s="5">
        <v>89.6</v>
      </c>
      <c r="AG2" s="5">
        <v>13115667</v>
      </c>
      <c r="AH2" s="5">
        <v>0</v>
      </c>
      <c r="AI2" s="5">
        <v>0.19400000000000001</v>
      </c>
      <c r="AJ2" s="5">
        <v>1.5229999999999999</v>
      </c>
      <c r="AK2" s="5">
        <v>100636</v>
      </c>
      <c r="AL2" s="5">
        <v>22</v>
      </c>
      <c r="AM2" s="5">
        <v>14492272</v>
      </c>
      <c r="AN2" s="5">
        <v>12340840</v>
      </c>
      <c r="AO2" s="5">
        <v>85.155000000000001</v>
      </c>
      <c r="AP2" s="5">
        <v>0</v>
      </c>
      <c r="AQ2" s="5">
        <v>0</v>
      </c>
      <c r="AR2" s="5"/>
      <c r="AS2" s="5"/>
      <c r="AT2" s="5">
        <v>13115667</v>
      </c>
      <c r="AU2" s="5">
        <v>94.665000000000006</v>
      </c>
      <c r="AV2" s="5">
        <v>13000</v>
      </c>
      <c r="AW2" s="5" t="s">
        <v>103</v>
      </c>
      <c r="AX2" s="5">
        <v>0</v>
      </c>
      <c r="AY2" s="5" t="s">
        <v>104</v>
      </c>
      <c r="AZ2" s="5">
        <v>0</v>
      </c>
      <c r="BA2" s="5" t="s">
        <v>105</v>
      </c>
      <c r="BB2" s="5">
        <v>1064189</v>
      </c>
      <c r="BC2" s="5">
        <v>2034476</v>
      </c>
      <c r="BD2" s="5">
        <v>191.17599999999999</v>
      </c>
      <c r="BE2" s="5">
        <v>7124</v>
      </c>
      <c r="BF2" s="5">
        <v>12758</v>
      </c>
      <c r="BG2" s="5">
        <v>179.089</v>
      </c>
      <c r="BH2" s="5">
        <v>22</v>
      </c>
      <c r="BI2" s="5">
        <v>0</v>
      </c>
      <c r="BJ2" s="5" t="s">
        <v>106</v>
      </c>
      <c r="BK2" s="5">
        <v>9652694</v>
      </c>
      <c r="BL2" s="5">
        <v>9965439</v>
      </c>
      <c r="BM2" s="5">
        <v>103.24</v>
      </c>
      <c r="BN2" s="5">
        <v>3081206</v>
      </c>
      <c r="BO2" s="5">
        <v>3413963</v>
      </c>
      <c r="BP2" s="5">
        <v>110.8</v>
      </c>
      <c r="BQ2" s="5">
        <v>20</v>
      </c>
      <c r="BR2" s="5">
        <v>0</v>
      </c>
      <c r="BS2" s="5" t="s">
        <v>106</v>
      </c>
      <c r="BT2" s="5">
        <v>3737828</v>
      </c>
      <c r="BU2" s="5">
        <v>2565243</v>
      </c>
      <c r="BV2" s="5">
        <v>68.629000000000005</v>
      </c>
      <c r="BW2" s="5">
        <v>0</v>
      </c>
      <c r="BX2" s="5">
        <v>4232444</v>
      </c>
      <c r="BY2" s="5">
        <v>3164225</v>
      </c>
      <c r="BZ2" s="5">
        <v>74.760999999999996</v>
      </c>
      <c r="CA2" s="5">
        <v>3164225</v>
      </c>
      <c r="CB2" s="5">
        <v>74.760999999999996</v>
      </c>
      <c r="CC2" s="5">
        <v>10</v>
      </c>
      <c r="CD2" s="5">
        <v>0</v>
      </c>
      <c r="CE2" s="5" t="s">
        <v>106</v>
      </c>
      <c r="CF2" s="5">
        <v>541024</v>
      </c>
      <c r="CG2" s="5">
        <v>257157</v>
      </c>
      <c r="CH2" s="5">
        <v>47.531999999999996</v>
      </c>
      <c r="CI2" s="5">
        <v>231614</v>
      </c>
      <c r="CJ2" s="5">
        <v>75487</v>
      </c>
      <c r="CK2" s="5">
        <v>32.591999999999999</v>
      </c>
      <c r="CL2" s="5">
        <v>4</v>
      </c>
      <c r="CM2" s="5">
        <v>0</v>
      </c>
      <c r="CN2" s="5" t="s">
        <v>106</v>
      </c>
      <c r="CO2" s="5">
        <v>13000</v>
      </c>
      <c r="CQ2">
        <f>SUMIFS([1]Working!$DC:$DC,[1]Working!$E:$E,H2)</f>
        <v>13000</v>
      </c>
      <c r="CR2">
        <f>CO2-CQ2</f>
        <v>0</v>
      </c>
    </row>
    <row r="3" spans="1:96" x14ac:dyDescent="0.35">
      <c r="A3" s="6" t="s">
        <v>93</v>
      </c>
      <c r="B3" s="6" t="s">
        <v>94</v>
      </c>
      <c r="C3" s="6">
        <v>92</v>
      </c>
      <c r="D3" s="6" t="s">
        <v>95</v>
      </c>
      <c r="E3" s="6" t="s">
        <v>107</v>
      </c>
      <c r="F3" s="6" t="s">
        <v>96</v>
      </c>
      <c r="G3" s="6" t="s">
        <v>107</v>
      </c>
      <c r="H3" s="6" t="s">
        <v>108</v>
      </c>
      <c r="I3" s="6" t="s">
        <v>109</v>
      </c>
      <c r="J3" s="6" t="s">
        <v>110</v>
      </c>
      <c r="K3" s="7">
        <v>41222</v>
      </c>
      <c r="L3" s="6" t="s">
        <v>100</v>
      </c>
      <c r="M3" s="6" t="s">
        <v>111</v>
      </c>
      <c r="N3" s="6"/>
      <c r="O3" s="6">
        <v>10</v>
      </c>
      <c r="P3" s="8" t="s">
        <v>101</v>
      </c>
      <c r="Q3" s="8" t="s">
        <v>102</v>
      </c>
      <c r="R3" s="8">
        <v>4980468</v>
      </c>
      <c r="S3" s="8">
        <v>4669186</v>
      </c>
      <c r="T3" s="8">
        <v>93.75</v>
      </c>
      <c r="U3" s="8">
        <v>4854334</v>
      </c>
      <c r="V3" s="8">
        <v>97.466999999999999</v>
      </c>
      <c r="W3" s="8">
        <v>2266710</v>
      </c>
      <c r="X3" s="8">
        <v>140096</v>
      </c>
      <c r="Y3" s="8">
        <v>0</v>
      </c>
      <c r="Z3" s="8">
        <v>45.512</v>
      </c>
      <c r="AA3" s="8">
        <v>160863</v>
      </c>
      <c r="AB3" s="8">
        <v>26113</v>
      </c>
      <c r="AC3" s="8">
        <v>16.233000000000001</v>
      </c>
      <c r="AD3" s="8">
        <v>141616</v>
      </c>
      <c r="AE3" s="8">
        <v>160570</v>
      </c>
      <c r="AF3" s="8">
        <v>113.384</v>
      </c>
      <c r="AG3" s="8">
        <v>4580184</v>
      </c>
      <c r="AH3" s="8">
        <v>18954</v>
      </c>
      <c r="AI3" s="8">
        <v>0</v>
      </c>
      <c r="AJ3" s="8">
        <v>3.0129999999999999</v>
      </c>
      <c r="AK3" s="8">
        <v>70048</v>
      </c>
      <c r="AL3" s="8">
        <v>9</v>
      </c>
      <c r="AM3" s="8">
        <v>5124619</v>
      </c>
      <c r="AN3" s="8">
        <v>3971712</v>
      </c>
      <c r="AO3" s="8">
        <v>77.503</v>
      </c>
      <c r="AP3" s="8">
        <v>0</v>
      </c>
      <c r="AQ3" s="8">
        <v>0</v>
      </c>
      <c r="AR3" s="8"/>
      <c r="AS3" s="8"/>
      <c r="AT3" s="8">
        <v>4580184</v>
      </c>
      <c r="AU3" s="8">
        <v>91.962999999999994</v>
      </c>
      <c r="AV3" s="8">
        <v>0</v>
      </c>
      <c r="AW3" s="8" t="s">
        <v>112</v>
      </c>
      <c r="AX3" s="8">
        <v>0</v>
      </c>
      <c r="AY3" s="8" t="s">
        <v>113</v>
      </c>
      <c r="AZ3" s="8">
        <v>0</v>
      </c>
      <c r="BA3" s="8" t="s">
        <v>105</v>
      </c>
      <c r="BB3" s="8">
        <v>177997</v>
      </c>
      <c r="BC3" s="8">
        <v>307971</v>
      </c>
      <c r="BD3" s="8">
        <v>173.02099999999999</v>
      </c>
      <c r="BE3" s="8">
        <v>1307</v>
      </c>
      <c r="BF3" s="8">
        <v>2152</v>
      </c>
      <c r="BG3" s="8">
        <v>164.648</v>
      </c>
      <c r="BH3" s="8">
        <v>8</v>
      </c>
      <c r="BI3" s="8">
        <v>0</v>
      </c>
      <c r="BJ3" s="8" t="s">
        <v>114</v>
      </c>
      <c r="BK3" s="8">
        <v>3477733</v>
      </c>
      <c r="BL3" s="8">
        <v>2869548</v>
      </c>
      <c r="BM3" s="8">
        <v>82.512</v>
      </c>
      <c r="BN3" s="8">
        <v>1314587</v>
      </c>
      <c r="BO3" s="8">
        <v>1246806</v>
      </c>
      <c r="BP3" s="8">
        <v>94.843999999999994</v>
      </c>
      <c r="BQ3" s="8">
        <v>9</v>
      </c>
      <c r="BR3" s="8">
        <v>0</v>
      </c>
      <c r="BS3" s="8" t="s">
        <v>115</v>
      </c>
      <c r="BT3" s="8">
        <v>1454894</v>
      </c>
      <c r="BU3" s="8">
        <v>950416</v>
      </c>
      <c r="BV3" s="8">
        <v>65.325000000000003</v>
      </c>
      <c r="BW3" s="8">
        <v>0</v>
      </c>
      <c r="BX3" s="8">
        <v>1643730</v>
      </c>
      <c r="BY3" s="8">
        <v>1226667</v>
      </c>
      <c r="BZ3" s="8">
        <v>74.626999999999995</v>
      </c>
      <c r="CA3" s="8">
        <v>1226667</v>
      </c>
      <c r="CB3" s="8">
        <v>74.626999999999995</v>
      </c>
      <c r="CC3" s="8">
        <v>6</v>
      </c>
      <c r="CD3" s="8">
        <v>0</v>
      </c>
      <c r="CE3" s="8" t="s">
        <v>116</v>
      </c>
      <c r="CF3" s="8">
        <v>180556</v>
      </c>
      <c r="CG3" s="8">
        <v>80944</v>
      </c>
      <c r="CH3" s="8">
        <v>44.83</v>
      </c>
      <c r="CI3" s="8">
        <v>82719</v>
      </c>
      <c r="CJ3" s="8">
        <v>30802</v>
      </c>
      <c r="CK3" s="8">
        <v>37.235999999999997</v>
      </c>
      <c r="CL3" s="8">
        <v>1</v>
      </c>
      <c r="CM3" s="8">
        <v>0</v>
      </c>
      <c r="CN3" s="8" t="s">
        <v>117</v>
      </c>
      <c r="CO3" s="8">
        <v>0</v>
      </c>
      <c r="CQ3">
        <f>SUMIFS([1]Working!$DC:$DC,[1]Working!$E:$E,H3)</f>
        <v>0</v>
      </c>
      <c r="CR3">
        <f t="shared" ref="CR3:CR66" si="0">CO3-CQ3</f>
        <v>0</v>
      </c>
    </row>
    <row r="4" spans="1:96" x14ac:dyDescent="0.35">
      <c r="A4" s="9" t="s">
        <v>93</v>
      </c>
      <c r="B4" s="9" t="s">
        <v>94</v>
      </c>
      <c r="C4" s="9">
        <v>92</v>
      </c>
      <c r="D4" s="9" t="s">
        <v>95</v>
      </c>
      <c r="E4" s="9" t="s">
        <v>107</v>
      </c>
      <c r="F4" s="9" t="s">
        <v>96</v>
      </c>
      <c r="G4" s="9" t="s">
        <v>118</v>
      </c>
      <c r="H4" s="9" t="s">
        <v>119</v>
      </c>
      <c r="I4" s="9" t="s">
        <v>120</v>
      </c>
      <c r="J4" s="9" t="s">
        <v>121</v>
      </c>
      <c r="K4" s="10">
        <v>45282</v>
      </c>
      <c r="L4" s="9" t="s">
        <v>100</v>
      </c>
      <c r="M4" s="9" t="s">
        <v>122</v>
      </c>
      <c r="N4" s="9"/>
      <c r="O4" s="9">
        <v>1</v>
      </c>
      <c r="P4" s="11" t="s">
        <v>101</v>
      </c>
      <c r="Q4" s="11" t="s">
        <v>102</v>
      </c>
      <c r="R4" s="11">
        <v>393624</v>
      </c>
      <c r="S4" s="11">
        <v>492528</v>
      </c>
      <c r="T4" s="11">
        <v>125.127</v>
      </c>
      <c r="U4" s="11">
        <v>509000</v>
      </c>
      <c r="V4" s="11">
        <v>129.31100000000001</v>
      </c>
      <c r="W4" s="11">
        <v>327675</v>
      </c>
      <c r="X4" s="11">
        <v>0</v>
      </c>
      <c r="Y4" s="11">
        <v>0</v>
      </c>
      <c r="Z4" s="11">
        <v>83.245999999999995</v>
      </c>
      <c r="AA4" s="11">
        <v>12001</v>
      </c>
      <c r="AB4" s="11">
        <v>0</v>
      </c>
      <c r="AC4" s="11">
        <v>0</v>
      </c>
      <c r="AD4" s="11">
        <v>952</v>
      </c>
      <c r="AE4" s="11">
        <v>0</v>
      </c>
      <c r="AF4" s="11">
        <v>0</v>
      </c>
      <c r="AG4" s="11">
        <v>492528</v>
      </c>
      <c r="AH4" s="11">
        <v>0</v>
      </c>
      <c r="AI4" s="11">
        <v>0</v>
      </c>
      <c r="AJ4" s="11">
        <v>0</v>
      </c>
      <c r="AK4" s="11">
        <v>0</v>
      </c>
      <c r="AL4" s="11">
        <v>1</v>
      </c>
      <c r="AM4" s="11">
        <v>368311</v>
      </c>
      <c r="AN4" s="11">
        <v>388329</v>
      </c>
      <c r="AO4" s="11">
        <v>105.435</v>
      </c>
      <c r="AP4" s="11">
        <v>100</v>
      </c>
      <c r="AQ4" s="11">
        <v>7</v>
      </c>
      <c r="AR4" s="11">
        <v>1</v>
      </c>
      <c r="AS4" s="11">
        <v>1</v>
      </c>
      <c r="AT4" s="11">
        <v>413305</v>
      </c>
      <c r="AU4" s="11">
        <v>105</v>
      </c>
      <c r="AV4" s="11">
        <v>11572.544</v>
      </c>
      <c r="AW4" s="11" t="s">
        <v>103</v>
      </c>
      <c r="AX4" s="11">
        <v>1500</v>
      </c>
      <c r="AY4" s="11" t="s">
        <v>103</v>
      </c>
      <c r="AZ4" s="11">
        <v>0</v>
      </c>
      <c r="BA4" s="11" t="s">
        <v>123</v>
      </c>
      <c r="BB4" s="11">
        <v>7377</v>
      </c>
      <c r="BC4" s="11">
        <v>17326</v>
      </c>
      <c r="BD4" s="11">
        <v>234.869</v>
      </c>
      <c r="BE4" s="11">
        <v>54</v>
      </c>
      <c r="BF4" s="11">
        <v>120</v>
      </c>
      <c r="BG4" s="11">
        <v>221.39099999999999</v>
      </c>
      <c r="BH4" s="11">
        <v>1</v>
      </c>
      <c r="BI4" s="11">
        <v>1000</v>
      </c>
      <c r="BJ4" s="11" t="s">
        <v>103</v>
      </c>
      <c r="BK4" s="11">
        <v>217849</v>
      </c>
      <c r="BL4" s="11">
        <v>237382</v>
      </c>
      <c r="BM4" s="11">
        <v>108.96599999999999</v>
      </c>
      <c r="BN4" s="11">
        <v>79852</v>
      </c>
      <c r="BO4" s="11">
        <v>108970</v>
      </c>
      <c r="BP4" s="11">
        <v>136.464</v>
      </c>
      <c r="BQ4" s="11">
        <v>1</v>
      </c>
      <c r="BR4" s="11">
        <v>1250</v>
      </c>
      <c r="BS4" s="11" t="s">
        <v>103</v>
      </c>
      <c r="BT4" s="11">
        <v>80168</v>
      </c>
      <c r="BU4" s="11">
        <v>78157</v>
      </c>
      <c r="BV4" s="11">
        <v>97.492000000000004</v>
      </c>
      <c r="BW4" s="11">
        <v>0</v>
      </c>
      <c r="BX4" s="11">
        <v>101104</v>
      </c>
      <c r="BY4" s="11">
        <v>103386</v>
      </c>
      <c r="BZ4" s="11">
        <v>102.25700000000001</v>
      </c>
      <c r="CA4" s="11">
        <v>103386</v>
      </c>
      <c r="CB4" s="11">
        <v>102.25700000000001</v>
      </c>
      <c r="CC4" s="11">
        <v>1</v>
      </c>
      <c r="CD4" s="11">
        <v>2250</v>
      </c>
      <c r="CE4" s="11" t="s">
        <v>103</v>
      </c>
      <c r="CF4" s="11">
        <v>17514</v>
      </c>
      <c r="CG4" s="11">
        <v>7700</v>
      </c>
      <c r="CH4" s="11">
        <v>43.966000000000001</v>
      </c>
      <c r="CI4" s="11">
        <v>8272</v>
      </c>
      <c r="CJ4" s="11">
        <v>7700</v>
      </c>
      <c r="CK4" s="11">
        <v>93.090999999999994</v>
      </c>
      <c r="CL4" s="11">
        <v>0</v>
      </c>
      <c r="CM4" s="11">
        <v>0</v>
      </c>
      <c r="CN4" s="11" t="s">
        <v>124</v>
      </c>
      <c r="CO4" s="11">
        <v>17572.544000000002</v>
      </c>
      <c r="CQ4">
        <f>SUMIFS([1]Working!$DC:$DC,[1]Working!$E:$E,H4)</f>
        <v>17572.543525830006</v>
      </c>
      <c r="CR4">
        <f t="shared" si="0"/>
        <v>4.7416999586857855E-4</v>
      </c>
    </row>
    <row r="5" spans="1:96" x14ac:dyDescent="0.35">
      <c r="A5" s="9" t="s">
        <v>93</v>
      </c>
      <c r="B5" s="9" t="s">
        <v>94</v>
      </c>
      <c r="C5" s="9">
        <v>92</v>
      </c>
      <c r="D5" s="9" t="s">
        <v>95</v>
      </c>
      <c r="E5" s="9" t="s">
        <v>107</v>
      </c>
      <c r="F5" s="9" t="s">
        <v>96</v>
      </c>
      <c r="G5" s="9" t="s">
        <v>125</v>
      </c>
      <c r="H5" s="9" t="s">
        <v>126</v>
      </c>
      <c r="I5" s="9" t="s">
        <v>127</v>
      </c>
      <c r="J5" s="9" t="s">
        <v>121</v>
      </c>
      <c r="K5" s="10">
        <v>44085</v>
      </c>
      <c r="L5" s="9" t="s">
        <v>100</v>
      </c>
      <c r="M5" s="9" t="s">
        <v>128</v>
      </c>
      <c r="N5" s="9"/>
      <c r="O5" s="9">
        <v>1</v>
      </c>
      <c r="P5" s="11" t="s">
        <v>101</v>
      </c>
      <c r="Q5" s="11" t="s">
        <v>129</v>
      </c>
      <c r="R5" s="11">
        <v>458150</v>
      </c>
      <c r="S5" s="11">
        <v>492280</v>
      </c>
      <c r="T5" s="11">
        <v>107.449</v>
      </c>
      <c r="U5" s="11">
        <v>492402</v>
      </c>
      <c r="V5" s="11">
        <v>107.476</v>
      </c>
      <c r="W5" s="11">
        <v>138141</v>
      </c>
      <c r="X5" s="11">
        <v>119</v>
      </c>
      <c r="Y5" s="11">
        <v>0</v>
      </c>
      <c r="Z5" s="11">
        <v>30.152000000000001</v>
      </c>
      <c r="AA5" s="11">
        <v>46199</v>
      </c>
      <c r="AB5" s="11">
        <v>0</v>
      </c>
      <c r="AC5" s="11">
        <v>0</v>
      </c>
      <c r="AD5" s="11">
        <v>30944</v>
      </c>
      <c r="AE5" s="11">
        <v>0</v>
      </c>
      <c r="AF5" s="11">
        <v>0</v>
      </c>
      <c r="AG5" s="11">
        <v>492280</v>
      </c>
      <c r="AH5" s="11">
        <v>0</v>
      </c>
      <c r="AI5" s="11">
        <v>0</v>
      </c>
      <c r="AJ5" s="11">
        <v>2.4E-2</v>
      </c>
      <c r="AK5" s="11">
        <v>0</v>
      </c>
      <c r="AL5" s="11">
        <v>1</v>
      </c>
      <c r="AM5" s="11"/>
      <c r="AN5" s="11"/>
      <c r="AO5" s="11"/>
      <c r="AP5" s="11">
        <v>0</v>
      </c>
      <c r="AQ5" s="11">
        <v>0</v>
      </c>
      <c r="AR5" s="11">
        <v>0.9</v>
      </c>
      <c r="AS5" s="11">
        <v>0.9</v>
      </c>
      <c r="AT5" s="11">
        <v>481058</v>
      </c>
      <c r="AU5" s="11">
        <v>105</v>
      </c>
      <c r="AV5" s="11">
        <v>0</v>
      </c>
      <c r="AW5" s="11" t="s">
        <v>129</v>
      </c>
      <c r="AX5" s="11">
        <v>0</v>
      </c>
      <c r="AY5" s="11" t="s">
        <v>130</v>
      </c>
      <c r="AZ5" s="11">
        <v>0</v>
      </c>
      <c r="BA5" s="11" t="s">
        <v>123</v>
      </c>
      <c r="BB5" s="11">
        <v>16257</v>
      </c>
      <c r="BC5" s="11">
        <v>-119</v>
      </c>
      <c r="BD5" s="11">
        <v>-0.73399999999999999</v>
      </c>
      <c r="BE5" s="11">
        <v>119</v>
      </c>
      <c r="BF5" s="11">
        <v>-1</v>
      </c>
      <c r="BG5" s="11">
        <v>-0.83799999999999997</v>
      </c>
      <c r="BH5" s="11">
        <v>0</v>
      </c>
      <c r="BI5" s="11">
        <v>0</v>
      </c>
      <c r="BJ5" s="11" t="s">
        <v>129</v>
      </c>
      <c r="BK5" s="11">
        <v>388873</v>
      </c>
      <c r="BL5" s="11">
        <v>372182</v>
      </c>
      <c r="BM5" s="11">
        <v>95.707999999999998</v>
      </c>
      <c r="BN5" s="11">
        <v>146347</v>
      </c>
      <c r="BO5" s="11">
        <v>212646</v>
      </c>
      <c r="BP5" s="11">
        <v>145.303</v>
      </c>
      <c r="BQ5" s="11">
        <v>1</v>
      </c>
      <c r="BR5" s="11">
        <v>1800</v>
      </c>
      <c r="BS5" s="11" t="s">
        <v>129</v>
      </c>
      <c r="BT5" s="11">
        <v>162460</v>
      </c>
      <c r="BU5" s="11">
        <v>151429</v>
      </c>
      <c r="BV5" s="11">
        <v>93.21</v>
      </c>
      <c r="BW5" s="11">
        <v>0</v>
      </c>
      <c r="BX5" s="11">
        <v>168550</v>
      </c>
      <c r="BY5" s="11">
        <v>151954</v>
      </c>
      <c r="BZ5" s="11">
        <v>90.153999999999996</v>
      </c>
      <c r="CA5" s="11">
        <v>151954</v>
      </c>
      <c r="CB5" s="11">
        <v>90.153999999999996</v>
      </c>
      <c r="CC5" s="11">
        <v>0</v>
      </c>
      <c r="CD5" s="11">
        <v>0</v>
      </c>
      <c r="CE5" s="11" t="s">
        <v>129</v>
      </c>
      <c r="CF5" s="11">
        <v>11519</v>
      </c>
      <c r="CG5" s="11">
        <v>7700</v>
      </c>
      <c r="CH5" s="11">
        <v>66.849000000000004</v>
      </c>
      <c r="CI5" s="11">
        <v>8272</v>
      </c>
      <c r="CJ5" s="11">
        <v>7700</v>
      </c>
      <c r="CK5" s="11">
        <v>93.090999999999994</v>
      </c>
      <c r="CL5" s="11">
        <v>0</v>
      </c>
      <c r="CM5" s="11">
        <v>0</v>
      </c>
      <c r="CN5" s="11" t="s">
        <v>129</v>
      </c>
      <c r="CO5" s="11">
        <v>1800</v>
      </c>
      <c r="CQ5">
        <f>SUMIFS([1]Working!$DC:$DC,[1]Working!$E:$E,H5)</f>
        <v>1800</v>
      </c>
      <c r="CR5">
        <f t="shared" si="0"/>
        <v>0</v>
      </c>
    </row>
    <row r="6" spans="1:96" x14ac:dyDescent="0.35">
      <c r="A6" s="9" t="s">
        <v>93</v>
      </c>
      <c r="B6" s="9" t="s">
        <v>94</v>
      </c>
      <c r="C6" s="9">
        <v>92</v>
      </c>
      <c r="D6" s="9" t="s">
        <v>95</v>
      </c>
      <c r="E6" s="9" t="s">
        <v>107</v>
      </c>
      <c r="F6" s="9" t="s">
        <v>96</v>
      </c>
      <c r="G6" s="9" t="s">
        <v>131</v>
      </c>
      <c r="H6" s="9" t="s">
        <v>132</v>
      </c>
      <c r="I6" s="9" t="s">
        <v>133</v>
      </c>
      <c r="J6" s="9" t="s">
        <v>121</v>
      </c>
      <c r="K6" s="10">
        <v>45713</v>
      </c>
      <c r="L6" s="9" t="s">
        <v>100</v>
      </c>
      <c r="M6" s="9" t="s">
        <v>134</v>
      </c>
      <c r="N6" s="9"/>
      <c r="O6" s="9">
        <v>1</v>
      </c>
      <c r="P6" s="11" t="s">
        <v>101</v>
      </c>
      <c r="Q6" s="11" t="s">
        <v>102</v>
      </c>
      <c r="R6" s="11">
        <v>207501</v>
      </c>
      <c r="S6" s="11">
        <v>243061</v>
      </c>
      <c r="T6" s="11">
        <v>117.137</v>
      </c>
      <c r="U6" s="11">
        <v>308102</v>
      </c>
      <c r="V6" s="11">
        <v>148.482</v>
      </c>
      <c r="W6" s="11">
        <v>167914</v>
      </c>
      <c r="X6" s="11">
        <v>0</v>
      </c>
      <c r="Y6" s="11">
        <v>0</v>
      </c>
      <c r="Z6" s="11">
        <v>80.921999999999997</v>
      </c>
      <c r="AA6" s="11">
        <v>2903</v>
      </c>
      <c r="AB6" s="11">
        <v>0</v>
      </c>
      <c r="AC6" s="11">
        <v>0</v>
      </c>
      <c r="AD6" s="11">
        <v>340</v>
      </c>
      <c r="AE6" s="11">
        <v>0</v>
      </c>
      <c r="AF6" s="11">
        <v>0</v>
      </c>
      <c r="AG6" s="11">
        <v>223611</v>
      </c>
      <c r="AH6" s="11">
        <v>0</v>
      </c>
      <c r="AI6" s="11">
        <v>0</v>
      </c>
      <c r="AJ6" s="11">
        <v>0</v>
      </c>
      <c r="AK6" s="11">
        <v>0</v>
      </c>
      <c r="AL6" s="11">
        <v>1</v>
      </c>
      <c r="AM6" s="11">
        <v>206534</v>
      </c>
      <c r="AN6" s="11">
        <v>230897</v>
      </c>
      <c r="AO6" s="11">
        <v>111.79600000000001</v>
      </c>
      <c r="AP6" s="11">
        <v>90</v>
      </c>
      <c r="AQ6" s="11">
        <v>6</v>
      </c>
      <c r="AR6" s="11">
        <v>0.9</v>
      </c>
      <c r="AS6" s="11">
        <v>1</v>
      </c>
      <c r="AT6" s="11">
        <v>217876</v>
      </c>
      <c r="AU6" s="11">
        <v>105</v>
      </c>
      <c r="AV6" s="11">
        <v>0</v>
      </c>
      <c r="AW6" s="11" t="s">
        <v>135</v>
      </c>
      <c r="AX6" s="11">
        <v>1500</v>
      </c>
      <c r="AY6" s="11" t="s">
        <v>103</v>
      </c>
      <c r="AZ6" s="11">
        <v>5042.2690000000002</v>
      </c>
      <c r="BA6" s="11" t="s">
        <v>103</v>
      </c>
      <c r="BB6" s="11">
        <v>3418</v>
      </c>
      <c r="BC6" s="11">
        <v>11550</v>
      </c>
      <c r="BD6" s="11">
        <v>337.94400000000002</v>
      </c>
      <c r="BE6" s="11">
        <v>25</v>
      </c>
      <c r="BF6" s="11">
        <v>80</v>
      </c>
      <c r="BG6" s="11">
        <v>315.11399999999998</v>
      </c>
      <c r="BH6" s="11">
        <v>1</v>
      </c>
      <c r="BI6" s="11">
        <v>1000</v>
      </c>
      <c r="BJ6" s="11" t="s">
        <v>103</v>
      </c>
      <c r="BK6" s="11">
        <v>157362</v>
      </c>
      <c r="BL6" s="11">
        <v>161326</v>
      </c>
      <c r="BM6" s="11">
        <v>102.51900000000001</v>
      </c>
      <c r="BN6" s="11">
        <v>85029</v>
      </c>
      <c r="BO6" s="11">
        <v>94202</v>
      </c>
      <c r="BP6" s="11">
        <v>110.78700000000001</v>
      </c>
      <c r="BQ6" s="11">
        <v>1</v>
      </c>
      <c r="BR6" s="11">
        <v>1250</v>
      </c>
      <c r="BS6" s="11" t="s">
        <v>103</v>
      </c>
      <c r="BT6" s="11">
        <v>48929</v>
      </c>
      <c r="BU6" s="11">
        <v>73272</v>
      </c>
      <c r="BV6" s="11">
        <v>149.75200000000001</v>
      </c>
      <c r="BW6" s="11">
        <v>19450</v>
      </c>
      <c r="BX6" s="11">
        <v>53587</v>
      </c>
      <c r="BY6" s="11">
        <v>75024</v>
      </c>
      <c r="BZ6" s="11">
        <v>140.005</v>
      </c>
      <c r="CA6" s="11">
        <v>55574</v>
      </c>
      <c r="CB6" s="11">
        <v>103.708</v>
      </c>
      <c r="CC6" s="11">
        <v>1</v>
      </c>
      <c r="CD6" s="11">
        <v>1250</v>
      </c>
      <c r="CE6" s="11" t="s">
        <v>103</v>
      </c>
      <c r="CF6" s="11">
        <v>12425</v>
      </c>
      <c r="CG6" s="11">
        <v>0</v>
      </c>
      <c r="CH6" s="11">
        <v>0</v>
      </c>
      <c r="CI6" s="11">
        <v>8272</v>
      </c>
      <c r="CJ6" s="11">
        <v>0</v>
      </c>
      <c r="CK6" s="11">
        <v>0</v>
      </c>
      <c r="CL6" s="11">
        <v>0</v>
      </c>
      <c r="CM6" s="11">
        <v>0</v>
      </c>
      <c r="CN6" s="11" t="s">
        <v>124</v>
      </c>
      <c r="CO6" s="11">
        <v>10042.269</v>
      </c>
      <c r="CQ6">
        <f>SUMIFS([1]Working!$DC:$DC,[1]Working!$E:$E,H6)</f>
        <v>10042.268987291001</v>
      </c>
      <c r="CR6">
        <f t="shared" si="0"/>
        <v>1.2708998838206753E-5</v>
      </c>
    </row>
    <row r="7" spans="1:96" x14ac:dyDescent="0.35">
      <c r="A7" s="9" t="s">
        <v>93</v>
      </c>
      <c r="B7" s="9" t="s">
        <v>94</v>
      </c>
      <c r="C7" s="9">
        <v>92</v>
      </c>
      <c r="D7" s="9" t="s">
        <v>95</v>
      </c>
      <c r="E7" s="9" t="s">
        <v>107</v>
      </c>
      <c r="F7" s="9" t="s">
        <v>96</v>
      </c>
      <c r="G7" s="9" t="s">
        <v>136</v>
      </c>
      <c r="H7" s="9" t="s">
        <v>137</v>
      </c>
      <c r="I7" s="9" t="s">
        <v>138</v>
      </c>
      <c r="J7" s="9" t="s">
        <v>121</v>
      </c>
      <c r="K7" s="10">
        <v>44796</v>
      </c>
      <c r="L7" s="9" t="s">
        <v>100</v>
      </c>
      <c r="M7" s="9" t="s">
        <v>139</v>
      </c>
      <c r="N7" s="9"/>
      <c r="O7" s="9">
        <v>1</v>
      </c>
      <c r="P7" s="11" t="s">
        <v>101</v>
      </c>
      <c r="Q7" s="11" t="s">
        <v>102</v>
      </c>
      <c r="R7" s="11">
        <v>583100</v>
      </c>
      <c r="S7" s="11">
        <v>619512</v>
      </c>
      <c r="T7" s="11">
        <v>106.244</v>
      </c>
      <c r="U7" s="11">
        <v>509456</v>
      </c>
      <c r="V7" s="11">
        <v>87.37</v>
      </c>
      <c r="W7" s="11">
        <v>374116</v>
      </c>
      <c r="X7" s="11">
        <v>2973</v>
      </c>
      <c r="Y7" s="11">
        <v>0</v>
      </c>
      <c r="Z7" s="11">
        <v>64.16</v>
      </c>
      <c r="AA7" s="11">
        <v>3648</v>
      </c>
      <c r="AB7" s="11">
        <v>-248</v>
      </c>
      <c r="AC7" s="11">
        <v>-6.8049999999999997</v>
      </c>
      <c r="AD7" s="11">
        <v>340</v>
      </c>
      <c r="AE7" s="11">
        <v>0</v>
      </c>
      <c r="AF7" s="11">
        <v>0</v>
      </c>
      <c r="AG7" s="11">
        <v>619512</v>
      </c>
      <c r="AH7" s="11">
        <v>0</v>
      </c>
      <c r="AI7" s="11">
        <v>0</v>
      </c>
      <c r="AJ7" s="11">
        <v>0.48</v>
      </c>
      <c r="AK7" s="11">
        <v>0</v>
      </c>
      <c r="AL7" s="11">
        <v>1</v>
      </c>
      <c r="AM7" s="11">
        <v>495913</v>
      </c>
      <c r="AN7" s="11">
        <v>527751</v>
      </c>
      <c r="AO7" s="11">
        <v>106.42</v>
      </c>
      <c r="AP7" s="11">
        <v>100</v>
      </c>
      <c r="AQ7" s="11">
        <v>8</v>
      </c>
      <c r="AR7" s="11">
        <v>1</v>
      </c>
      <c r="AS7" s="11">
        <v>1</v>
      </c>
      <c r="AT7" s="11">
        <v>612255</v>
      </c>
      <c r="AU7" s="11">
        <v>105</v>
      </c>
      <c r="AV7" s="11">
        <v>17143.148000000001</v>
      </c>
      <c r="AW7" s="11" t="s">
        <v>103</v>
      </c>
      <c r="AX7" s="11">
        <v>1500</v>
      </c>
      <c r="AY7" s="11" t="s">
        <v>103</v>
      </c>
      <c r="AZ7" s="11">
        <v>0</v>
      </c>
      <c r="BA7" s="11" t="s">
        <v>123</v>
      </c>
      <c r="BB7" s="11">
        <v>7860</v>
      </c>
      <c r="BC7" s="11">
        <v>11426</v>
      </c>
      <c r="BD7" s="11">
        <v>145.36000000000001</v>
      </c>
      <c r="BE7" s="11">
        <v>58</v>
      </c>
      <c r="BF7" s="11">
        <v>79</v>
      </c>
      <c r="BG7" s="11">
        <v>136.423</v>
      </c>
      <c r="BH7" s="11">
        <v>1</v>
      </c>
      <c r="BI7" s="11">
        <v>1000</v>
      </c>
      <c r="BJ7" s="11" t="s">
        <v>103</v>
      </c>
      <c r="BK7" s="11">
        <v>309566</v>
      </c>
      <c r="BL7" s="11">
        <v>163634</v>
      </c>
      <c r="BM7" s="11">
        <v>52.859000000000002</v>
      </c>
      <c r="BN7" s="11">
        <v>48653</v>
      </c>
      <c r="BO7" s="11">
        <v>80176</v>
      </c>
      <c r="BP7" s="11">
        <v>164.791</v>
      </c>
      <c r="BQ7" s="11">
        <v>1</v>
      </c>
      <c r="BR7" s="11">
        <v>1250</v>
      </c>
      <c r="BS7" s="11" t="s">
        <v>103</v>
      </c>
      <c r="BT7" s="11">
        <v>211102</v>
      </c>
      <c r="BU7" s="11">
        <v>51916</v>
      </c>
      <c r="BV7" s="11">
        <v>24.593</v>
      </c>
      <c r="BW7" s="11">
        <v>0</v>
      </c>
      <c r="BX7" s="11">
        <v>228891</v>
      </c>
      <c r="BY7" s="11">
        <v>72576</v>
      </c>
      <c r="BZ7" s="11">
        <v>31.707999999999998</v>
      </c>
      <c r="CA7" s="11">
        <v>72576</v>
      </c>
      <c r="CB7" s="11">
        <v>31.707999999999998</v>
      </c>
      <c r="CC7" s="11">
        <v>0</v>
      </c>
      <c r="CD7" s="11">
        <v>0</v>
      </c>
      <c r="CE7" s="11" t="s">
        <v>140</v>
      </c>
      <c r="CF7" s="11">
        <v>20514</v>
      </c>
      <c r="CG7" s="11">
        <v>-296</v>
      </c>
      <c r="CH7" s="11">
        <v>-1.4419999999999999</v>
      </c>
      <c r="CI7" s="11">
        <v>8272</v>
      </c>
      <c r="CJ7" s="11">
        <v>0</v>
      </c>
      <c r="CK7" s="11">
        <v>0</v>
      </c>
      <c r="CL7" s="11">
        <v>0</v>
      </c>
      <c r="CM7" s="11">
        <v>0</v>
      </c>
      <c r="CN7" s="11" t="s">
        <v>124</v>
      </c>
      <c r="CO7" s="11">
        <v>20893.148000000001</v>
      </c>
      <c r="CQ7">
        <f>SUMIFS([1]Working!$DC:$DC,[1]Working!$E:$E,H7)</f>
        <v>20893.147627829992</v>
      </c>
      <c r="CR7">
        <f t="shared" si="0"/>
        <v>3.7217000863165595E-4</v>
      </c>
    </row>
    <row r="8" spans="1:96" x14ac:dyDescent="0.35">
      <c r="A8" s="9" t="s">
        <v>93</v>
      </c>
      <c r="B8" s="9" t="s">
        <v>94</v>
      </c>
      <c r="C8" s="9">
        <v>92</v>
      </c>
      <c r="D8" s="9" t="s">
        <v>95</v>
      </c>
      <c r="E8" s="9" t="s">
        <v>107</v>
      </c>
      <c r="F8" s="9" t="s">
        <v>96</v>
      </c>
      <c r="G8" s="9" t="s">
        <v>141</v>
      </c>
      <c r="H8" s="9" t="s">
        <v>142</v>
      </c>
      <c r="I8" s="9" t="s">
        <v>143</v>
      </c>
      <c r="J8" s="9" t="s">
        <v>121</v>
      </c>
      <c r="K8" s="10">
        <v>43087</v>
      </c>
      <c r="L8" s="9" t="s">
        <v>100</v>
      </c>
      <c r="M8" s="9" t="s">
        <v>144</v>
      </c>
      <c r="N8" s="9"/>
      <c r="O8" s="9">
        <v>1</v>
      </c>
      <c r="P8" s="11" t="s">
        <v>101</v>
      </c>
      <c r="Q8" s="11" t="s">
        <v>102</v>
      </c>
      <c r="R8" s="11">
        <v>590633</v>
      </c>
      <c r="S8" s="11">
        <v>611688</v>
      </c>
      <c r="T8" s="11">
        <v>103.565</v>
      </c>
      <c r="U8" s="11">
        <v>700950</v>
      </c>
      <c r="V8" s="11">
        <v>118.678</v>
      </c>
      <c r="W8" s="11">
        <v>263294</v>
      </c>
      <c r="X8" s="11">
        <v>0</v>
      </c>
      <c r="Y8" s="11">
        <v>0</v>
      </c>
      <c r="Z8" s="11">
        <v>44.578000000000003</v>
      </c>
      <c r="AA8" s="11">
        <v>27743</v>
      </c>
      <c r="AB8" s="11">
        <v>0</v>
      </c>
      <c r="AC8" s="11">
        <v>0</v>
      </c>
      <c r="AD8" s="11">
        <v>26045</v>
      </c>
      <c r="AE8" s="11">
        <v>25710</v>
      </c>
      <c r="AF8" s="11">
        <v>98.715000000000003</v>
      </c>
      <c r="AG8" s="11">
        <v>611688</v>
      </c>
      <c r="AH8" s="11">
        <v>0</v>
      </c>
      <c r="AI8" s="11">
        <v>0</v>
      </c>
      <c r="AJ8" s="11">
        <v>0</v>
      </c>
      <c r="AK8" s="11">
        <v>0</v>
      </c>
      <c r="AL8" s="11">
        <v>1</v>
      </c>
      <c r="AM8" s="11">
        <v>644946</v>
      </c>
      <c r="AN8" s="11">
        <v>660296</v>
      </c>
      <c r="AO8" s="11">
        <v>102.38</v>
      </c>
      <c r="AP8" s="11">
        <v>100</v>
      </c>
      <c r="AQ8" s="11">
        <v>5</v>
      </c>
      <c r="AR8" s="11">
        <v>0.9</v>
      </c>
      <c r="AS8" s="11">
        <v>1</v>
      </c>
      <c r="AT8" s="11">
        <v>611688</v>
      </c>
      <c r="AU8" s="11">
        <v>103.565</v>
      </c>
      <c r="AV8" s="11">
        <v>16821.419000000002</v>
      </c>
      <c r="AW8" s="11" t="s">
        <v>103</v>
      </c>
      <c r="AX8" s="11">
        <v>1500</v>
      </c>
      <c r="AY8" s="11" t="s">
        <v>103</v>
      </c>
      <c r="AZ8" s="11">
        <v>0</v>
      </c>
      <c r="BA8" s="11" t="s">
        <v>123</v>
      </c>
      <c r="BB8" s="11">
        <v>15878</v>
      </c>
      <c r="BC8" s="11">
        <v>60640</v>
      </c>
      <c r="BD8" s="11">
        <v>381.90899999999999</v>
      </c>
      <c r="BE8" s="11">
        <v>117</v>
      </c>
      <c r="BF8" s="11">
        <v>420</v>
      </c>
      <c r="BG8" s="11">
        <v>360.50200000000001</v>
      </c>
      <c r="BH8" s="11">
        <v>1</v>
      </c>
      <c r="BI8" s="11">
        <v>1000</v>
      </c>
      <c r="BJ8" s="11" t="s">
        <v>103</v>
      </c>
      <c r="BK8" s="11">
        <v>457077</v>
      </c>
      <c r="BL8" s="11">
        <v>474968</v>
      </c>
      <c r="BM8" s="11">
        <v>103.914</v>
      </c>
      <c r="BN8" s="11">
        <v>197924</v>
      </c>
      <c r="BO8" s="11">
        <v>209722</v>
      </c>
      <c r="BP8" s="11">
        <v>105.961</v>
      </c>
      <c r="BQ8" s="11">
        <v>1</v>
      </c>
      <c r="BR8" s="11">
        <v>2750</v>
      </c>
      <c r="BS8" s="11" t="s">
        <v>103</v>
      </c>
      <c r="BT8" s="11">
        <v>161247</v>
      </c>
      <c r="BU8" s="11">
        <v>170968</v>
      </c>
      <c r="BV8" s="11">
        <v>106.02800000000001</v>
      </c>
      <c r="BW8" s="11">
        <v>0</v>
      </c>
      <c r="BX8" s="11">
        <v>190436</v>
      </c>
      <c r="BY8" s="11">
        <v>204606</v>
      </c>
      <c r="BZ8" s="11">
        <v>107.441</v>
      </c>
      <c r="CA8" s="11">
        <v>204606</v>
      </c>
      <c r="CB8" s="11">
        <v>107.441</v>
      </c>
      <c r="CC8" s="11">
        <v>1</v>
      </c>
      <c r="CD8" s="11">
        <v>3000</v>
      </c>
      <c r="CE8" s="11" t="s">
        <v>103</v>
      </c>
      <c r="CF8" s="11">
        <v>25096</v>
      </c>
      <c r="CG8" s="11">
        <v>0</v>
      </c>
      <c r="CH8" s="11">
        <v>0</v>
      </c>
      <c r="CI8" s="11">
        <v>8272</v>
      </c>
      <c r="CJ8" s="11">
        <v>0</v>
      </c>
      <c r="CK8" s="11">
        <v>0</v>
      </c>
      <c r="CL8" s="11">
        <v>0</v>
      </c>
      <c r="CM8" s="11">
        <v>0</v>
      </c>
      <c r="CN8" s="11" t="s">
        <v>124</v>
      </c>
      <c r="CO8" s="11">
        <v>25071.419000000002</v>
      </c>
      <c r="CQ8">
        <f>SUMIFS([1]Working!$DC:$DC,[1]Working!$E:$E,H8)</f>
        <v>25071.419312500013</v>
      </c>
      <c r="CR8">
        <f t="shared" si="0"/>
        <v>-3.1250001120497473E-4</v>
      </c>
    </row>
    <row r="9" spans="1:96" x14ac:dyDescent="0.35">
      <c r="A9" s="9" t="s">
        <v>93</v>
      </c>
      <c r="B9" s="9" t="s">
        <v>94</v>
      </c>
      <c r="C9" s="9">
        <v>92</v>
      </c>
      <c r="D9" s="9" t="s">
        <v>95</v>
      </c>
      <c r="E9" s="9" t="s">
        <v>107</v>
      </c>
      <c r="F9" s="9" t="s">
        <v>96</v>
      </c>
      <c r="G9" s="9" t="s">
        <v>145</v>
      </c>
      <c r="H9" s="9" t="s">
        <v>146</v>
      </c>
      <c r="I9" s="9" t="s">
        <v>147</v>
      </c>
      <c r="J9" s="9" t="s">
        <v>121</v>
      </c>
      <c r="K9" s="10">
        <v>43865</v>
      </c>
      <c r="L9" s="9" t="s">
        <v>100</v>
      </c>
      <c r="M9" s="9" t="s">
        <v>148</v>
      </c>
      <c r="N9" s="9"/>
      <c r="O9" s="9">
        <v>1</v>
      </c>
      <c r="P9" s="11" t="s">
        <v>101</v>
      </c>
      <c r="Q9" s="11" t="s">
        <v>102</v>
      </c>
      <c r="R9" s="11">
        <v>582141</v>
      </c>
      <c r="S9" s="11">
        <v>611045</v>
      </c>
      <c r="T9" s="11">
        <v>104.965</v>
      </c>
      <c r="U9" s="11">
        <v>577270</v>
      </c>
      <c r="V9" s="11">
        <v>99.162999999999997</v>
      </c>
      <c r="W9" s="11">
        <v>253983</v>
      </c>
      <c r="X9" s="11">
        <v>0</v>
      </c>
      <c r="Y9" s="11">
        <v>0</v>
      </c>
      <c r="Z9" s="11">
        <v>43.628999999999998</v>
      </c>
      <c r="AA9" s="11">
        <v>13728</v>
      </c>
      <c r="AB9" s="11">
        <v>17710</v>
      </c>
      <c r="AC9" s="11">
        <v>129.00299999999999</v>
      </c>
      <c r="AD9" s="11">
        <v>25836</v>
      </c>
      <c r="AE9" s="11">
        <v>96570</v>
      </c>
      <c r="AF9" s="11">
        <v>373.78199999999998</v>
      </c>
      <c r="AG9" s="11">
        <v>611045</v>
      </c>
      <c r="AH9" s="11">
        <v>0</v>
      </c>
      <c r="AI9" s="11">
        <v>0</v>
      </c>
      <c r="AJ9" s="11">
        <v>0</v>
      </c>
      <c r="AK9" s="11">
        <v>0</v>
      </c>
      <c r="AL9" s="11">
        <v>1</v>
      </c>
      <c r="AM9" s="11">
        <v>626925</v>
      </c>
      <c r="AN9" s="11">
        <v>637600</v>
      </c>
      <c r="AO9" s="11">
        <v>101.703</v>
      </c>
      <c r="AP9" s="11">
        <v>100</v>
      </c>
      <c r="AQ9" s="11">
        <v>7</v>
      </c>
      <c r="AR9" s="11">
        <v>1</v>
      </c>
      <c r="AS9" s="11">
        <v>1</v>
      </c>
      <c r="AT9" s="11">
        <v>611045</v>
      </c>
      <c r="AU9" s="11">
        <v>104.965</v>
      </c>
      <c r="AV9" s="11">
        <v>17109.252</v>
      </c>
      <c r="AW9" s="11" t="s">
        <v>103</v>
      </c>
      <c r="AX9" s="11">
        <v>1500</v>
      </c>
      <c r="AY9" s="11" t="s">
        <v>103</v>
      </c>
      <c r="AZ9" s="11">
        <v>0</v>
      </c>
      <c r="BA9" s="11" t="s">
        <v>123</v>
      </c>
      <c r="BB9" s="11">
        <v>48236</v>
      </c>
      <c r="BC9" s="11">
        <v>63527</v>
      </c>
      <c r="BD9" s="11">
        <v>131.70099999999999</v>
      </c>
      <c r="BE9" s="11">
        <v>354</v>
      </c>
      <c r="BF9" s="11">
        <v>440</v>
      </c>
      <c r="BG9" s="11">
        <v>124.46899999999999</v>
      </c>
      <c r="BH9" s="11">
        <v>1</v>
      </c>
      <c r="BI9" s="11">
        <v>2000</v>
      </c>
      <c r="BJ9" s="11" t="s">
        <v>103</v>
      </c>
      <c r="BK9" s="11">
        <v>333434</v>
      </c>
      <c r="BL9" s="11">
        <v>370588</v>
      </c>
      <c r="BM9" s="11">
        <v>111.143</v>
      </c>
      <c r="BN9" s="11">
        <v>144360</v>
      </c>
      <c r="BO9" s="11">
        <v>167541</v>
      </c>
      <c r="BP9" s="11">
        <v>116.05800000000001</v>
      </c>
      <c r="BQ9" s="11">
        <v>1</v>
      </c>
      <c r="BR9" s="11">
        <v>2000</v>
      </c>
      <c r="BS9" s="11" t="s">
        <v>103</v>
      </c>
      <c r="BT9" s="11">
        <v>75787</v>
      </c>
      <c r="BU9" s="11">
        <v>48848</v>
      </c>
      <c r="BV9" s="11">
        <v>64.453999999999994</v>
      </c>
      <c r="BW9" s="11">
        <v>0</v>
      </c>
      <c r="BX9" s="11">
        <v>100435</v>
      </c>
      <c r="BY9" s="11">
        <v>104562</v>
      </c>
      <c r="BZ9" s="11">
        <v>104.10899999999999</v>
      </c>
      <c r="CA9" s="11">
        <v>104562</v>
      </c>
      <c r="CB9" s="11">
        <v>104.10899999999999</v>
      </c>
      <c r="CC9" s="11">
        <v>1</v>
      </c>
      <c r="CD9" s="11">
        <v>2250</v>
      </c>
      <c r="CE9" s="11" t="s">
        <v>103</v>
      </c>
      <c r="CF9" s="11">
        <v>26676</v>
      </c>
      <c r="CG9" s="11">
        <v>17249</v>
      </c>
      <c r="CH9" s="11">
        <v>64.662000000000006</v>
      </c>
      <c r="CI9" s="11">
        <v>8272</v>
      </c>
      <c r="CJ9" s="11">
        <v>7700</v>
      </c>
      <c r="CK9" s="11">
        <v>93.090999999999994</v>
      </c>
      <c r="CL9" s="11">
        <v>0</v>
      </c>
      <c r="CM9" s="11">
        <v>0</v>
      </c>
      <c r="CN9" s="11" t="s">
        <v>124</v>
      </c>
      <c r="CO9" s="11">
        <v>24859.252</v>
      </c>
      <c r="CQ9">
        <f>SUMIFS([1]Working!$DC:$DC,[1]Working!$E:$E,H9)</f>
        <v>24859.252159999989</v>
      </c>
      <c r="CR9">
        <f t="shared" si="0"/>
        <v>-1.5999998868210241E-4</v>
      </c>
    </row>
    <row r="10" spans="1:96" x14ac:dyDescent="0.35">
      <c r="A10" s="9" t="s">
        <v>93</v>
      </c>
      <c r="B10" s="9" t="s">
        <v>94</v>
      </c>
      <c r="C10" s="9">
        <v>92</v>
      </c>
      <c r="D10" s="9" t="s">
        <v>95</v>
      </c>
      <c r="E10" s="9" t="s">
        <v>107</v>
      </c>
      <c r="F10" s="9" t="s">
        <v>96</v>
      </c>
      <c r="G10" s="9" t="s">
        <v>149</v>
      </c>
      <c r="H10" s="9" t="s">
        <v>150</v>
      </c>
      <c r="I10" s="9" t="s">
        <v>151</v>
      </c>
      <c r="J10" s="9" t="s">
        <v>121</v>
      </c>
      <c r="K10" s="10">
        <v>45140</v>
      </c>
      <c r="L10" s="9" t="s">
        <v>100</v>
      </c>
      <c r="M10" s="9" t="s">
        <v>152</v>
      </c>
      <c r="N10" s="9"/>
      <c r="O10" s="9">
        <v>1</v>
      </c>
      <c r="P10" s="11" t="s">
        <v>101</v>
      </c>
      <c r="Q10" s="11" t="s">
        <v>102</v>
      </c>
      <c r="R10" s="11">
        <v>546528</v>
      </c>
      <c r="S10" s="11">
        <v>572455</v>
      </c>
      <c r="T10" s="11">
        <v>104.744</v>
      </c>
      <c r="U10" s="11">
        <v>541124</v>
      </c>
      <c r="V10" s="11">
        <v>99.010999999999996</v>
      </c>
      <c r="W10" s="11">
        <v>257427</v>
      </c>
      <c r="X10" s="11">
        <v>2187</v>
      </c>
      <c r="Y10" s="11">
        <v>0</v>
      </c>
      <c r="Z10" s="11">
        <v>47.101999999999997</v>
      </c>
      <c r="AA10" s="11">
        <v>5785</v>
      </c>
      <c r="AB10" s="11">
        <v>-203</v>
      </c>
      <c r="AC10" s="11">
        <v>-3.5139999999999998</v>
      </c>
      <c r="AD10" s="11">
        <v>12554</v>
      </c>
      <c r="AE10" s="11">
        <v>7030</v>
      </c>
      <c r="AF10" s="11">
        <v>55.997999999999998</v>
      </c>
      <c r="AG10" s="11">
        <v>572455</v>
      </c>
      <c r="AH10" s="11">
        <v>0</v>
      </c>
      <c r="AI10" s="11">
        <v>0</v>
      </c>
      <c r="AJ10" s="11">
        <v>0.38200000000000001</v>
      </c>
      <c r="AK10" s="11">
        <v>0</v>
      </c>
      <c r="AL10" s="11">
        <v>1</v>
      </c>
      <c r="AM10" s="11">
        <v>582699</v>
      </c>
      <c r="AN10" s="11">
        <v>649382</v>
      </c>
      <c r="AO10" s="11">
        <v>111.444</v>
      </c>
      <c r="AP10" s="11">
        <v>100</v>
      </c>
      <c r="AQ10" s="11">
        <v>6</v>
      </c>
      <c r="AR10" s="11">
        <v>0.9</v>
      </c>
      <c r="AS10" s="11">
        <v>1</v>
      </c>
      <c r="AT10" s="11">
        <v>572455</v>
      </c>
      <c r="AU10" s="11">
        <v>104.744</v>
      </c>
      <c r="AV10" s="11">
        <v>16028.74</v>
      </c>
      <c r="AW10" s="11" t="s">
        <v>103</v>
      </c>
      <c r="AX10" s="11">
        <v>1500</v>
      </c>
      <c r="AY10" s="11" t="s">
        <v>103</v>
      </c>
      <c r="AZ10" s="11">
        <v>0</v>
      </c>
      <c r="BA10" s="11" t="s">
        <v>123</v>
      </c>
      <c r="BB10" s="11">
        <v>31171</v>
      </c>
      <c r="BC10" s="11">
        <v>71432</v>
      </c>
      <c r="BD10" s="11">
        <v>229.161</v>
      </c>
      <c r="BE10" s="11">
        <v>229</v>
      </c>
      <c r="BF10" s="11">
        <v>514</v>
      </c>
      <c r="BG10" s="11">
        <v>224.839</v>
      </c>
      <c r="BH10" s="11">
        <v>1</v>
      </c>
      <c r="BI10" s="11">
        <v>2000</v>
      </c>
      <c r="BJ10" s="11" t="s">
        <v>103</v>
      </c>
      <c r="BK10" s="11">
        <v>423157</v>
      </c>
      <c r="BL10" s="11">
        <v>418785</v>
      </c>
      <c r="BM10" s="11">
        <v>98.966999999999999</v>
      </c>
      <c r="BN10" s="11">
        <v>144886</v>
      </c>
      <c r="BO10" s="11">
        <v>146664</v>
      </c>
      <c r="BP10" s="11">
        <v>101.22799999999999</v>
      </c>
      <c r="BQ10" s="11">
        <v>1</v>
      </c>
      <c r="BR10" s="11">
        <v>1500</v>
      </c>
      <c r="BS10" s="11" t="s">
        <v>103</v>
      </c>
      <c r="BT10" s="11">
        <v>202207</v>
      </c>
      <c r="BU10" s="11">
        <v>112048</v>
      </c>
      <c r="BV10" s="11">
        <v>55.411999999999999</v>
      </c>
      <c r="BW10" s="11">
        <v>0</v>
      </c>
      <c r="BX10" s="11">
        <v>227471</v>
      </c>
      <c r="BY10" s="11">
        <v>157924</v>
      </c>
      <c r="BZ10" s="11">
        <v>69.426000000000002</v>
      </c>
      <c r="CA10" s="11">
        <v>157924</v>
      </c>
      <c r="CB10" s="11">
        <v>69.426000000000002</v>
      </c>
      <c r="CC10" s="11">
        <v>0</v>
      </c>
      <c r="CD10" s="11">
        <v>0</v>
      </c>
      <c r="CE10" s="11" t="s">
        <v>140</v>
      </c>
      <c r="CF10" s="11">
        <v>13844</v>
      </c>
      <c r="CG10" s="11">
        <v>42968</v>
      </c>
      <c r="CH10" s="11">
        <v>310.36599999999999</v>
      </c>
      <c r="CI10" s="11">
        <v>8272</v>
      </c>
      <c r="CJ10" s="11">
        <v>0</v>
      </c>
      <c r="CK10" s="11">
        <v>0</v>
      </c>
      <c r="CL10" s="11">
        <v>1</v>
      </c>
      <c r="CM10" s="11">
        <v>0</v>
      </c>
      <c r="CN10" s="11" t="s">
        <v>153</v>
      </c>
      <c r="CO10" s="11">
        <v>21028.74</v>
      </c>
      <c r="CQ10">
        <f>SUMIFS([1]Working!$DC:$DC,[1]Working!$E:$E,H10)</f>
        <v>21028.740279999995</v>
      </c>
      <c r="CR10">
        <f t="shared" si="0"/>
        <v>-2.7999999292660505E-4</v>
      </c>
    </row>
    <row r="11" spans="1:96" x14ac:dyDescent="0.35">
      <c r="A11" s="9" t="s">
        <v>93</v>
      </c>
      <c r="B11" s="9" t="s">
        <v>94</v>
      </c>
      <c r="C11" s="9">
        <v>92</v>
      </c>
      <c r="D11" s="9" t="s">
        <v>95</v>
      </c>
      <c r="E11" s="9" t="s">
        <v>107</v>
      </c>
      <c r="F11" s="9" t="s">
        <v>96</v>
      </c>
      <c r="G11" s="9" t="s">
        <v>154</v>
      </c>
      <c r="H11" s="9" t="s">
        <v>155</v>
      </c>
      <c r="I11" s="9" t="s">
        <v>156</v>
      </c>
      <c r="J11" s="9" t="s">
        <v>121</v>
      </c>
      <c r="K11" s="10">
        <v>44623</v>
      </c>
      <c r="L11" s="9" t="s">
        <v>100</v>
      </c>
      <c r="M11" s="9" t="s">
        <v>157</v>
      </c>
      <c r="N11" s="9"/>
      <c r="O11" s="9">
        <v>1</v>
      </c>
      <c r="P11" s="11" t="s">
        <v>101</v>
      </c>
      <c r="Q11" s="11" t="s">
        <v>102</v>
      </c>
      <c r="R11" s="11">
        <v>615751</v>
      </c>
      <c r="S11" s="11">
        <v>-32670</v>
      </c>
      <c r="T11" s="11">
        <v>-5.306</v>
      </c>
      <c r="U11" s="11">
        <v>99226</v>
      </c>
      <c r="V11" s="11">
        <v>16.114999999999998</v>
      </c>
      <c r="W11" s="11">
        <v>-103731</v>
      </c>
      <c r="X11" s="11">
        <v>134816</v>
      </c>
      <c r="Y11" s="11">
        <v>0</v>
      </c>
      <c r="Z11" s="11">
        <v>-16.846</v>
      </c>
      <c r="AA11" s="11">
        <v>13858</v>
      </c>
      <c r="AB11" s="11">
        <v>8855</v>
      </c>
      <c r="AC11" s="11">
        <v>63.898000000000003</v>
      </c>
      <c r="AD11" s="11">
        <v>18219</v>
      </c>
      <c r="AE11" s="11">
        <v>5550</v>
      </c>
      <c r="AF11" s="11">
        <v>30.462</v>
      </c>
      <c r="AG11" s="11">
        <v>-32670</v>
      </c>
      <c r="AH11" s="11">
        <v>0</v>
      </c>
      <c r="AI11" s="11">
        <v>0</v>
      </c>
      <c r="AJ11" s="11">
        <v>-412.661</v>
      </c>
      <c r="AK11" s="11">
        <v>0</v>
      </c>
      <c r="AL11" s="11">
        <v>0</v>
      </c>
      <c r="AM11" s="11">
        <v>647622</v>
      </c>
      <c r="AN11" s="11">
        <v>126842</v>
      </c>
      <c r="AO11" s="11">
        <v>19.585999999999999</v>
      </c>
      <c r="AP11" s="11">
        <v>90</v>
      </c>
      <c r="AQ11" s="11">
        <v>4</v>
      </c>
      <c r="AR11" s="11">
        <v>0.9</v>
      </c>
      <c r="AS11" s="11">
        <v>1</v>
      </c>
      <c r="AT11" s="11">
        <v>-32670</v>
      </c>
      <c r="AU11" s="11">
        <v>-5.306</v>
      </c>
      <c r="AV11" s="11">
        <v>0</v>
      </c>
      <c r="AW11" s="11" t="s">
        <v>112</v>
      </c>
      <c r="AX11" s="11">
        <v>0</v>
      </c>
      <c r="AY11" s="11" t="s">
        <v>158</v>
      </c>
      <c r="AZ11" s="11">
        <v>0</v>
      </c>
      <c r="BA11" s="11" t="s">
        <v>159</v>
      </c>
      <c r="BB11" s="11">
        <v>21578</v>
      </c>
      <c r="BC11" s="11">
        <v>0</v>
      </c>
      <c r="BD11" s="11">
        <v>0</v>
      </c>
      <c r="BE11" s="11">
        <v>159</v>
      </c>
      <c r="BF11" s="11">
        <v>0</v>
      </c>
      <c r="BG11" s="11">
        <v>0</v>
      </c>
      <c r="BH11" s="11">
        <v>0</v>
      </c>
      <c r="BI11" s="11">
        <v>0</v>
      </c>
      <c r="BJ11" s="11" t="s">
        <v>160</v>
      </c>
      <c r="BK11" s="11">
        <v>522362</v>
      </c>
      <c r="BL11" s="11">
        <v>-64335</v>
      </c>
      <c r="BM11" s="11">
        <v>-12.316000000000001</v>
      </c>
      <c r="BN11" s="11">
        <v>206521</v>
      </c>
      <c r="BO11" s="11">
        <v>-107111</v>
      </c>
      <c r="BP11" s="11">
        <v>-51.865000000000002</v>
      </c>
      <c r="BQ11" s="11">
        <v>0</v>
      </c>
      <c r="BR11" s="11">
        <v>0</v>
      </c>
      <c r="BS11" s="11" t="s">
        <v>115</v>
      </c>
      <c r="BT11" s="11">
        <v>258884</v>
      </c>
      <c r="BU11" s="11">
        <v>19539</v>
      </c>
      <c r="BV11" s="11">
        <v>7.5469999999999997</v>
      </c>
      <c r="BW11" s="11">
        <v>0</v>
      </c>
      <c r="BX11" s="11">
        <v>264392</v>
      </c>
      <c r="BY11" s="11">
        <v>28299</v>
      </c>
      <c r="BZ11" s="11">
        <v>10.704000000000001</v>
      </c>
      <c r="CA11" s="11">
        <v>28299</v>
      </c>
      <c r="CB11" s="11">
        <v>10.704000000000001</v>
      </c>
      <c r="CC11" s="11">
        <v>0</v>
      </c>
      <c r="CD11" s="11">
        <v>0</v>
      </c>
      <c r="CE11" s="11" t="s">
        <v>161</v>
      </c>
      <c r="CF11" s="11">
        <v>16014</v>
      </c>
      <c r="CG11" s="11">
        <v>5622</v>
      </c>
      <c r="CH11" s="11">
        <v>35.107999999999997</v>
      </c>
      <c r="CI11" s="11">
        <v>8272</v>
      </c>
      <c r="CJ11" s="11">
        <v>7700</v>
      </c>
      <c r="CK11" s="11">
        <v>93.090999999999994</v>
      </c>
      <c r="CL11" s="11">
        <v>0</v>
      </c>
      <c r="CM11" s="11">
        <v>0</v>
      </c>
      <c r="CN11" s="11" t="s">
        <v>117</v>
      </c>
      <c r="CO11" s="11">
        <v>0</v>
      </c>
      <c r="CQ11">
        <f>SUMIFS([1]Working!$DC:$DC,[1]Working!$E:$E,H11)</f>
        <v>0</v>
      </c>
      <c r="CR11">
        <f t="shared" si="0"/>
        <v>0</v>
      </c>
    </row>
    <row r="12" spans="1:96" x14ac:dyDescent="0.35">
      <c r="A12" s="9" t="s">
        <v>93</v>
      </c>
      <c r="B12" s="9" t="s">
        <v>94</v>
      </c>
      <c r="C12" s="9">
        <v>92</v>
      </c>
      <c r="D12" s="9" t="s">
        <v>95</v>
      </c>
      <c r="E12" s="9" t="s">
        <v>107</v>
      </c>
      <c r="F12" s="9" t="s">
        <v>96</v>
      </c>
      <c r="G12" s="9" t="s">
        <v>162</v>
      </c>
      <c r="H12" s="9" t="s">
        <v>163</v>
      </c>
      <c r="I12" s="9" t="s">
        <v>164</v>
      </c>
      <c r="J12" s="9" t="s">
        <v>121</v>
      </c>
      <c r="K12" s="10">
        <v>43839</v>
      </c>
      <c r="L12" s="9" t="s">
        <v>100</v>
      </c>
      <c r="M12" s="9" t="s">
        <v>144</v>
      </c>
      <c r="N12" s="9"/>
      <c r="O12" s="9">
        <v>1</v>
      </c>
      <c r="P12" s="11" t="s">
        <v>101</v>
      </c>
      <c r="Q12" s="11" t="s">
        <v>102</v>
      </c>
      <c r="R12" s="11">
        <v>590633</v>
      </c>
      <c r="S12" s="11">
        <v>611688</v>
      </c>
      <c r="T12" s="11">
        <v>103.565</v>
      </c>
      <c r="U12" s="11">
        <v>700950</v>
      </c>
      <c r="V12" s="11">
        <v>118.678</v>
      </c>
      <c r="W12" s="11">
        <v>263294</v>
      </c>
      <c r="X12" s="11">
        <v>0</v>
      </c>
      <c r="Y12" s="11">
        <v>0</v>
      </c>
      <c r="Z12" s="11">
        <v>44.578000000000003</v>
      </c>
      <c r="AA12" s="11">
        <v>27743</v>
      </c>
      <c r="AB12" s="11">
        <v>0</v>
      </c>
      <c r="AC12" s="11">
        <v>0</v>
      </c>
      <c r="AD12" s="11">
        <v>26045</v>
      </c>
      <c r="AE12" s="11">
        <v>25710</v>
      </c>
      <c r="AF12" s="11">
        <v>98.715000000000003</v>
      </c>
      <c r="AG12" s="11">
        <v>611688</v>
      </c>
      <c r="AH12" s="11">
        <v>0</v>
      </c>
      <c r="AI12" s="11">
        <v>0</v>
      </c>
      <c r="AJ12" s="11">
        <v>0</v>
      </c>
      <c r="AK12" s="11">
        <v>0</v>
      </c>
      <c r="AL12" s="11">
        <v>1</v>
      </c>
      <c r="AM12" s="11">
        <v>644946</v>
      </c>
      <c r="AN12" s="11">
        <v>660296</v>
      </c>
      <c r="AO12" s="11">
        <v>102.38</v>
      </c>
      <c r="AP12" s="11">
        <v>100</v>
      </c>
      <c r="AQ12" s="11">
        <v>7</v>
      </c>
      <c r="AR12" s="11">
        <v>1</v>
      </c>
      <c r="AS12" s="11">
        <v>1</v>
      </c>
      <c r="AT12" s="11">
        <v>611688</v>
      </c>
      <c r="AU12" s="11">
        <v>103.565</v>
      </c>
      <c r="AV12" s="11">
        <v>16821.419000000002</v>
      </c>
      <c r="AW12" s="11" t="s">
        <v>103</v>
      </c>
      <c r="AX12" s="11">
        <v>1500</v>
      </c>
      <c r="AY12" s="11" t="s">
        <v>103</v>
      </c>
      <c r="AZ12" s="11">
        <v>0</v>
      </c>
      <c r="BA12" s="11" t="s">
        <v>123</v>
      </c>
      <c r="BB12" s="11">
        <v>15878</v>
      </c>
      <c r="BC12" s="11">
        <v>60640</v>
      </c>
      <c r="BD12" s="11">
        <v>381.90899999999999</v>
      </c>
      <c r="BE12" s="11">
        <v>117</v>
      </c>
      <c r="BF12" s="11">
        <v>420</v>
      </c>
      <c r="BG12" s="11">
        <v>360.50200000000001</v>
      </c>
      <c r="BH12" s="11">
        <v>1</v>
      </c>
      <c r="BI12" s="11">
        <v>1000</v>
      </c>
      <c r="BJ12" s="11" t="s">
        <v>103</v>
      </c>
      <c r="BK12" s="11">
        <v>457077</v>
      </c>
      <c r="BL12" s="11">
        <v>474968</v>
      </c>
      <c r="BM12" s="11">
        <v>103.914</v>
      </c>
      <c r="BN12" s="11">
        <v>197924</v>
      </c>
      <c r="BO12" s="11">
        <v>209722</v>
      </c>
      <c r="BP12" s="11">
        <v>105.961</v>
      </c>
      <c r="BQ12" s="11">
        <v>1</v>
      </c>
      <c r="BR12" s="11">
        <v>2750</v>
      </c>
      <c r="BS12" s="11" t="s">
        <v>103</v>
      </c>
      <c r="BT12" s="11">
        <v>161247</v>
      </c>
      <c r="BU12" s="11">
        <v>170968</v>
      </c>
      <c r="BV12" s="11">
        <v>106.02800000000001</v>
      </c>
      <c r="BW12" s="11">
        <v>0</v>
      </c>
      <c r="BX12" s="11">
        <v>190436</v>
      </c>
      <c r="BY12" s="11">
        <v>204606</v>
      </c>
      <c r="BZ12" s="11">
        <v>107.441</v>
      </c>
      <c r="CA12" s="11">
        <v>204606</v>
      </c>
      <c r="CB12" s="11">
        <v>107.441</v>
      </c>
      <c r="CC12" s="11">
        <v>1</v>
      </c>
      <c r="CD12" s="11">
        <v>3000</v>
      </c>
      <c r="CE12" s="11" t="s">
        <v>103</v>
      </c>
      <c r="CF12" s="11">
        <v>25096</v>
      </c>
      <c r="CG12" s="11">
        <v>0</v>
      </c>
      <c r="CH12" s="11">
        <v>0</v>
      </c>
      <c r="CI12" s="11">
        <v>8272</v>
      </c>
      <c r="CJ12" s="11">
        <v>0</v>
      </c>
      <c r="CK12" s="11">
        <v>0</v>
      </c>
      <c r="CL12" s="11">
        <v>0</v>
      </c>
      <c r="CM12" s="11">
        <v>0</v>
      </c>
      <c r="CN12" s="11" t="s">
        <v>124</v>
      </c>
      <c r="CO12" s="11">
        <v>25071.419000000002</v>
      </c>
      <c r="CQ12">
        <f>SUMIFS([1]Working!$DC:$DC,[1]Working!$E:$E,H12)</f>
        <v>25071.419312500013</v>
      </c>
      <c r="CR12">
        <f t="shared" si="0"/>
        <v>-3.1250001120497473E-4</v>
      </c>
    </row>
    <row r="13" spans="1:96" x14ac:dyDescent="0.35">
      <c r="A13" s="9" t="s">
        <v>93</v>
      </c>
      <c r="B13" s="9" t="s">
        <v>94</v>
      </c>
      <c r="C13" s="9">
        <v>92</v>
      </c>
      <c r="D13" s="9" t="s">
        <v>95</v>
      </c>
      <c r="E13" s="9" t="s">
        <v>107</v>
      </c>
      <c r="F13" s="9" t="s">
        <v>96</v>
      </c>
      <c r="G13" s="9" t="s">
        <v>165</v>
      </c>
      <c r="H13" s="9" t="s">
        <v>166</v>
      </c>
      <c r="I13" s="9" t="s">
        <v>167</v>
      </c>
      <c r="J13" s="9" t="s">
        <v>121</v>
      </c>
      <c r="K13" s="10">
        <v>45190</v>
      </c>
      <c r="L13" s="9" t="s">
        <v>100</v>
      </c>
      <c r="M13" s="9" t="s">
        <v>168</v>
      </c>
      <c r="N13" s="9"/>
      <c r="O13" s="9">
        <v>1</v>
      </c>
      <c r="P13" s="11" t="s">
        <v>101</v>
      </c>
      <c r="Q13" s="11" t="s">
        <v>102</v>
      </c>
      <c r="R13" s="11">
        <v>412406</v>
      </c>
      <c r="S13" s="11">
        <v>447599</v>
      </c>
      <c r="T13" s="11">
        <v>108.53400000000001</v>
      </c>
      <c r="U13" s="11">
        <v>415853</v>
      </c>
      <c r="V13" s="11">
        <v>100.836</v>
      </c>
      <c r="W13" s="11">
        <v>324599</v>
      </c>
      <c r="X13" s="11">
        <v>0</v>
      </c>
      <c r="Y13" s="11">
        <v>0</v>
      </c>
      <c r="Z13" s="11">
        <v>78.709000000000003</v>
      </c>
      <c r="AA13" s="11">
        <v>7255</v>
      </c>
      <c r="AB13" s="11">
        <v>0</v>
      </c>
      <c r="AC13" s="11">
        <v>0</v>
      </c>
      <c r="AD13" s="11">
        <v>340</v>
      </c>
      <c r="AE13" s="11">
        <v>0</v>
      </c>
      <c r="AF13" s="11">
        <v>0</v>
      </c>
      <c r="AG13" s="11">
        <v>447599</v>
      </c>
      <c r="AH13" s="11">
        <v>0</v>
      </c>
      <c r="AI13" s="11">
        <v>0</v>
      </c>
      <c r="AJ13" s="11">
        <v>0</v>
      </c>
      <c r="AK13" s="11">
        <v>0</v>
      </c>
      <c r="AL13" s="11">
        <v>1</v>
      </c>
      <c r="AM13" s="11">
        <v>366178</v>
      </c>
      <c r="AN13" s="11">
        <v>382953</v>
      </c>
      <c r="AO13" s="11">
        <v>104.581</v>
      </c>
      <c r="AP13" s="11">
        <v>100</v>
      </c>
      <c r="AQ13" s="11">
        <v>8</v>
      </c>
      <c r="AR13" s="11">
        <v>1</v>
      </c>
      <c r="AS13" s="11">
        <v>1</v>
      </c>
      <c r="AT13" s="11">
        <v>433027</v>
      </c>
      <c r="AU13" s="11">
        <v>105</v>
      </c>
      <c r="AV13" s="11">
        <v>12124.743</v>
      </c>
      <c r="AW13" s="11" t="s">
        <v>103</v>
      </c>
      <c r="AX13" s="11">
        <v>1500</v>
      </c>
      <c r="AY13" s="11" t="s">
        <v>103</v>
      </c>
      <c r="AZ13" s="11">
        <v>0</v>
      </c>
      <c r="BA13" s="11" t="s">
        <v>123</v>
      </c>
      <c r="BB13" s="11">
        <v>10343</v>
      </c>
      <c r="BC13" s="11">
        <v>11550</v>
      </c>
      <c r="BD13" s="11">
        <v>111.669</v>
      </c>
      <c r="BE13" s="11">
        <v>76</v>
      </c>
      <c r="BF13" s="11">
        <v>80</v>
      </c>
      <c r="BG13" s="11">
        <v>104.913</v>
      </c>
      <c r="BH13" s="11">
        <v>1</v>
      </c>
      <c r="BI13" s="11">
        <v>1000</v>
      </c>
      <c r="BJ13" s="11" t="s">
        <v>103</v>
      </c>
      <c r="BK13" s="11">
        <v>210978</v>
      </c>
      <c r="BL13" s="11">
        <v>259556</v>
      </c>
      <c r="BM13" s="11">
        <v>123.02500000000001</v>
      </c>
      <c r="BN13" s="11">
        <v>63091</v>
      </c>
      <c r="BO13" s="11">
        <v>124276</v>
      </c>
      <c r="BP13" s="11">
        <v>196.977</v>
      </c>
      <c r="BQ13" s="11">
        <v>1</v>
      </c>
      <c r="BR13" s="11">
        <v>1250</v>
      </c>
      <c r="BS13" s="11" t="s">
        <v>103</v>
      </c>
      <c r="BT13" s="11">
        <v>92863</v>
      </c>
      <c r="BU13" s="11">
        <v>73272</v>
      </c>
      <c r="BV13" s="11">
        <v>78.903000000000006</v>
      </c>
      <c r="BW13" s="11">
        <v>0</v>
      </c>
      <c r="BX13" s="11">
        <v>118429</v>
      </c>
      <c r="BY13" s="11">
        <v>123730</v>
      </c>
      <c r="BZ13" s="11">
        <v>104.476</v>
      </c>
      <c r="CA13" s="11">
        <v>123730</v>
      </c>
      <c r="CB13" s="11">
        <v>104.476</v>
      </c>
      <c r="CC13" s="11">
        <v>1</v>
      </c>
      <c r="CD13" s="11">
        <v>2250</v>
      </c>
      <c r="CE13" s="11" t="s">
        <v>103</v>
      </c>
      <c r="CF13" s="11">
        <v>11859</v>
      </c>
      <c r="CG13" s="11">
        <v>0</v>
      </c>
      <c r="CH13" s="11">
        <v>0</v>
      </c>
      <c r="CI13" s="11">
        <v>8272</v>
      </c>
      <c r="CJ13" s="11">
        <v>0</v>
      </c>
      <c r="CK13" s="11">
        <v>0</v>
      </c>
      <c r="CL13" s="11">
        <v>0</v>
      </c>
      <c r="CM13" s="11">
        <v>0</v>
      </c>
      <c r="CN13" s="11" t="s">
        <v>124</v>
      </c>
      <c r="CO13" s="11">
        <v>18124.742999999999</v>
      </c>
      <c r="CQ13">
        <f>SUMIFS([1]Working!$DC:$DC,[1]Working!$E:$E,H13)</f>
        <v>18124.742968548002</v>
      </c>
      <c r="CR13">
        <f t="shared" si="0"/>
        <v>3.1451996619580314E-5</v>
      </c>
    </row>
    <row r="14" spans="1:96" x14ac:dyDescent="0.35">
      <c r="A14" s="6" t="s">
        <v>93</v>
      </c>
      <c r="B14" s="6" t="s">
        <v>94</v>
      </c>
      <c r="C14" s="6">
        <v>92</v>
      </c>
      <c r="D14" s="6" t="s">
        <v>95</v>
      </c>
      <c r="E14" s="6" t="s">
        <v>169</v>
      </c>
      <c r="F14" s="6" t="s">
        <v>96</v>
      </c>
      <c r="G14" s="6" t="s">
        <v>169</v>
      </c>
      <c r="H14" s="6" t="s">
        <v>170</v>
      </c>
      <c r="I14" s="6" t="s">
        <v>171</v>
      </c>
      <c r="J14" s="6" t="s">
        <v>110</v>
      </c>
      <c r="K14" s="7">
        <v>44208</v>
      </c>
      <c r="L14" s="6" t="s">
        <v>100</v>
      </c>
      <c r="M14" s="6" t="s">
        <v>172</v>
      </c>
      <c r="N14" s="6"/>
      <c r="O14" s="6">
        <v>9</v>
      </c>
      <c r="P14" s="8" t="s">
        <v>101</v>
      </c>
      <c r="Q14" s="8" t="s">
        <v>102</v>
      </c>
      <c r="R14" s="8">
        <v>4418455</v>
      </c>
      <c r="S14" s="8">
        <v>4050272</v>
      </c>
      <c r="T14" s="8">
        <v>91.667000000000002</v>
      </c>
      <c r="U14" s="8">
        <v>4284198</v>
      </c>
      <c r="V14" s="8">
        <v>96.960999999999999</v>
      </c>
      <c r="W14" s="8">
        <v>2072607</v>
      </c>
      <c r="X14" s="8">
        <v>6935</v>
      </c>
      <c r="Y14" s="8">
        <v>0</v>
      </c>
      <c r="Z14" s="8">
        <v>46.908000000000001</v>
      </c>
      <c r="AA14" s="8">
        <v>264811</v>
      </c>
      <c r="AB14" s="8">
        <v>326399</v>
      </c>
      <c r="AC14" s="8">
        <v>123.25700000000001</v>
      </c>
      <c r="AD14" s="8">
        <v>131879</v>
      </c>
      <c r="AE14" s="8">
        <v>67710</v>
      </c>
      <c r="AF14" s="8">
        <v>51.343000000000004</v>
      </c>
      <c r="AG14" s="8">
        <v>4050272</v>
      </c>
      <c r="AH14" s="8">
        <v>0</v>
      </c>
      <c r="AI14" s="8">
        <v>0</v>
      </c>
      <c r="AJ14" s="8">
        <v>0.17100000000000001</v>
      </c>
      <c r="AK14" s="8">
        <v>0</v>
      </c>
      <c r="AL14" s="8">
        <v>6</v>
      </c>
      <c r="AM14" s="8">
        <v>4612386</v>
      </c>
      <c r="AN14" s="8">
        <v>3541598</v>
      </c>
      <c r="AO14" s="8">
        <v>76.784999999999997</v>
      </c>
      <c r="AP14" s="8">
        <v>0</v>
      </c>
      <c r="AQ14" s="8">
        <v>0</v>
      </c>
      <c r="AR14" s="8"/>
      <c r="AS14" s="8"/>
      <c r="AT14" s="8">
        <v>4050272</v>
      </c>
      <c r="AU14" s="8">
        <v>91.667000000000002</v>
      </c>
      <c r="AV14" s="8">
        <v>0</v>
      </c>
      <c r="AW14" s="8" t="s">
        <v>112</v>
      </c>
      <c r="AX14" s="8">
        <v>0</v>
      </c>
      <c r="AY14" s="8" t="s">
        <v>113</v>
      </c>
      <c r="AZ14" s="8">
        <v>0</v>
      </c>
      <c r="BA14" s="8" t="s">
        <v>105</v>
      </c>
      <c r="BB14" s="8">
        <v>457791</v>
      </c>
      <c r="BC14" s="8">
        <v>882782</v>
      </c>
      <c r="BD14" s="8">
        <v>192.83500000000001</v>
      </c>
      <c r="BE14" s="8">
        <v>3366</v>
      </c>
      <c r="BF14" s="8">
        <v>6368</v>
      </c>
      <c r="BG14" s="8">
        <v>189.161</v>
      </c>
      <c r="BH14" s="8">
        <v>7</v>
      </c>
      <c r="BI14" s="8">
        <v>0</v>
      </c>
      <c r="BJ14" s="8" t="s">
        <v>114</v>
      </c>
      <c r="BK14" s="8">
        <v>3001163</v>
      </c>
      <c r="BL14" s="8">
        <v>3244737</v>
      </c>
      <c r="BM14" s="8">
        <v>108.116</v>
      </c>
      <c r="BN14" s="8">
        <v>843494</v>
      </c>
      <c r="BO14" s="8">
        <v>1041373</v>
      </c>
      <c r="BP14" s="8">
        <v>123.459</v>
      </c>
      <c r="BQ14" s="8">
        <v>5</v>
      </c>
      <c r="BR14" s="8">
        <v>0</v>
      </c>
      <c r="BS14" s="8" t="s">
        <v>114</v>
      </c>
      <c r="BT14" s="8">
        <v>1081841</v>
      </c>
      <c r="BU14" s="8">
        <v>706560</v>
      </c>
      <c r="BV14" s="8">
        <v>65.311000000000007</v>
      </c>
      <c r="BW14" s="8">
        <v>0</v>
      </c>
      <c r="BX14" s="8">
        <v>1277527</v>
      </c>
      <c r="BY14" s="8">
        <v>925464</v>
      </c>
      <c r="BZ14" s="8">
        <v>72.441999999999993</v>
      </c>
      <c r="CA14" s="8">
        <v>925464</v>
      </c>
      <c r="CB14" s="8">
        <v>72.441999999999993</v>
      </c>
      <c r="CC14" s="8">
        <v>2</v>
      </c>
      <c r="CD14" s="8">
        <v>0</v>
      </c>
      <c r="CE14" s="8" t="s">
        <v>116</v>
      </c>
      <c r="CF14" s="8">
        <v>157541</v>
      </c>
      <c r="CG14" s="8">
        <v>68718</v>
      </c>
      <c r="CH14" s="8">
        <v>43.619</v>
      </c>
      <c r="CI14" s="8">
        <v>74447</v>
      </c>
      <c r="CJ14" s="8">
        <v>22460</v>
      </c>
      <c r="CK14" s="8">
        <v>30.167999999999999</v>
      </c>
      <c r="CL14" s="8">
        <v>1</v>
      </c>
      <c r="CM14" s="8">
        <v>0</v>
      </c>
      <c r="CN14" s="8" t="s">
        <v>117</v>
      </c>
      <c r="CO14" s="8">
        <v>0</v>
      </c>
      <c r="CQ14">
        <f>SUMIFS([1]Working!$DC:$DC,[1]Working!$E:$E,H14)</f>
        <v>0</v>
      </c>
      <c r="CR14">
        <f t="shared" si="0"/>
        <v>0</v>
      </c>
    </row>
    <row r="15" spans="1:96" x14ac:dyDescent="0.35">
      <c r="A15" s="9" t="s">
        <v>93</v>
      </c>
      <c r="B15" s="9" t="s">
        <v>94</v>
      </c>
      <c r="C15" s="9">
        <v>92</v>
      </c>
      <c r="D15" s="9" t="s">
        <v>95</v>
      </c>
      <c r="E15" s="9" t="s">
        <v>169</v>
      </c>
      <c r="F15" s="9" t="s">
        <v>96</v>
      </c>
      <c r="G15" s="9" t="s">
        <v>173</v>
      </c>
      <c r="H15" s="9" t="s">
        <v>174</v>
      </c>
      <c r="I15" s="9" t="s">
        <v>175</v>
      </c>
      <c r="J15" s="9" t="s">
        <v>121</v>
      </c>
      <c r="K15" s="10">
        <v>39295</v>
      </c>
      <c r="L15" s="9" t="s">
        <v>100</v>
      </c>
      <c r="M15" s="9" t="s">
        <v>176</v>
      </c>
      <c r="N15" s="9"/>
      <c r="O15" s="9">
        <v>1</v>
      </c>
      <c r="P15" s="11" t="s">
        <v>101</v>
      </c>
      <c r="Q15" s="11" t="s">
        <v>102</v>
      </c>
      <c r="R15" s="11">
        <v>431215</v>
      </c>
      <c r="S15" s="11">
        <v>111332</v>
      </c>
      <c r="T15" s="11">
        <v>25.818000000000001</v>
      </c>
      <c r="U15" s="11">
        <v>152989</v>
      </c>
      <c r="V15" s="11">
        <v>35.478999999999999</v>
      </c>
      <c r="W15" s="11">
        <v>19360</v>
      </c>
      <c r="X15" s="11">
        <v>0</v>
      </c>
      <c r="Y15" s="11">
        <v>0</v>
      </c>
      <c r="Z15" s="11">
        <v>4.49</v>
      </c>
      <c r="AA15" s="11">
        <v>52119</v>
      </c>
      <c r="AB15" s="11">
        <v>0</v>
      </c>
      <c r="AC15" s="11">
        <v>0</v>
      </c>
      <c r="AD15" s="11">
        <v>12073</v>
      </c>
      <c r="AE15" s="11">
        <v>5550</v>
      </c>
      <c r="AF15" s="11">
        <v>45.969000000000001</v>
      </c>
      <c r="AG15" s="11">
        <v>111332</v>
      </c>
      <c r="AH15" s="11">
        <v>0</v>
      </c>
      <c r="AI15" s="11">
        <v>0</v>
      </c>
      <c r="AJ15" s="11">
        <v>0</v>
      </c>
      <c r="AK15" s="11">
        <v>0</v>
      </c>
      <c r="AL15" s="11">
        <v>0</v>
      </c>
      <c r="AM15" s="11">
        <v>472430</v>
      </c>
      <c r="AN15" s="11">
        <v>315759</v>
      </c>
      <c r="AO15" s="11">
        <v>66.837000000000003</v>
      </c>
      <c r="AP15" s="11">
        <v>92</v>
      </c>
      <c r="AQ15" s="11">
        <v>7</v>
      </c>
      <c r="AR15" s="11">
        <v>1</v>
      </c>
      <c r="AS15" s="11">
        <v>1</v>
      </c>
      <c r="AT15" s="11">
        <v>111332</v>
      </c>
      <c r="AU15" s="11">
        <v>25.818000000000001</v>
      </c>
      <c r="AV15" s="11">
        <v>0</v>
      </c>
      <c r="AW15" s="11" t="s">
        <v>112</v>
      </c>
      <c r="AX15" s="11">
        <v>0</v>
      </c>
      <c r="AY15" s="11" t="s">
        <v>158</v>
      </c>
      <c r="AZ15" s="11">
        <v>0</v>
      </c>
      <c r="BA15" s="11" t="s">
        <v>159</v>
      </c>
      <c r="BB15" s="11">
        <v>27242</v>
      </c>
      <c r="BC15" s="11">
        <v>40426</v>
      </c>
      <c r="BD15" s="11">
        <v>148.39500000000001</v>
      </c>
      <c r="BE15" s="11">
        <v>200</v>
      </c>
      <c r="BF15" s="11">
        <v>280</v>
      </c>
      <c r="BG15" s="11">
        <v>140.16399999999999</v>
      </c>
      <c r="BH15" s="11">
        <v>1</v>
      </c>
      <c r="BI15" s="11">
        <v>0</v>
      </c>
      <c r="BJ15" s="11" t="s">
        <v>114</v>
      </c>
      <c r="BK15" s="11">
        <v>308158</v>
      </c>
      <c r="BL15" s="11">
        <v>82274</v>
      </c>
      <c r="BM15" s="11">
        <v>26.698</v>
      </c>
      <c r="BN15" s="11">
        <v>59823</v>
      </c>
      <c r="BO15" s="11">
        <v>37314</v>
      </c>
      <c r="BP15" s="11">
        <v>62.372999999999998</v>
      </c>
      <c r="BQ15" s="11">
        <v>0</v>
      </c>
      <c r="BR15" s="11">
        <v>0</v>
      </c>
      <c r="BS15" s="11" t="s">
        <v>115</v>
      </c>
      <c r="BT15" s="11">
        <v>135158</v>
      </c>
      <c r="BU15" s="11">
        <v>0</v>
      </c>
      <c r="BV15" s="11">
        <v>0</v>
      </c>
      <c r="BW15" s="11">
        <v>0</v>
      </c>
      <c r="BX15" s="11">
        <v>154163</v>
      </c>
      <c r="BY15" s="11">
        <v>876</v>
      </c>
      <c r="BZ15" s="11">
        <v>0.56799999999999995</v>
      </c>
      <c r="CA15" s="11">
        <v>876</v>
      </c>
      <c r="CB15" s="11">
        <v>0.56799999999999995</v>
      </c>
      <c r="CC15" s="11">
        <v>0</v>
      </c>
      <c r="CD15" s="11">
        <v>0</v>
      </c>
      <c r="CE15" s="11" t="s">
        <v>161</v>
      </c>
      <c r="CF15" s="11">
        <v>14811</v>
      </c>
      <c r="CG15" s="11">
        <v>3658</v>
      </c>
      <c r="CH15" s="11">
        <v>24.695</v>
      </c>
      <c r="CI15" s="11">
        <v>8272</v>
      </c>
      <c r="CJ15" s="11">
        <v>0</v>
      </c>
      <c r="CK15" s="11">
        <v>0</v>
      </c>
      <c r="CL15" s="11">
        <v>0</v>
      </c>
      <c r="CM15" s="11">
        <v>0</v>
      </c>
      <c r="CN15" s="11" t="s">
        <v>117</v>
      </c>
      <c r="CO15" s="11">
        <v>0</v>
      </c>
      <c r="CQ15">
        <f>SUMIFS([1]Working!$DC:$DC,[1]Working!$E:$E,H15)</f>
        <v>0</v>
      </c>
      <c r="CR15">
        <f t="shared" si="0"/>
        <v>0</v>
      </c>
    </row>
    <row r="16" spans="1:96" x14ac:dyDescent="0.35">
      <c r="A16" s="9" t="s">
        <v>93</v>
      </c>
      <c r="B16" s="9" t="s">
        <v>94</v>
      </c>
      <c r="C16" s="9">
        <v>92</v>
      </c>
      <c r="D16" s="9" t="s">
        <v>95</v>
      </c>
      <c r="E16" s="9" t="s">
        <v>169</v>
      </c>
      <c r="F16" s="9" t="s">
        <v>96</v>
      </c>
      <c r="G16" s="9" t="s">
        <v>177</v>
      </c>
      <c r="H16" s="9" t="s">
        <v>178</v>
      </c>
      <c r="I16" s="9" t="s">
        <v>179</v>
      </c>
      <c r="J16" s="9" t="s">
        <v>121</v>
      </c>
      <c r="K16" s="10">
        <v>44453</v>
      </c>
      <c r="L16" s="9" t="s">
        <v>100</v>
      </c>
      <c r="M16" s="9" t="s">
        <v>180</v>
      </c>
      <c r="N16" s="9"/>
      <c r="O16" s="9">
        <v>1</v>
      </c>
      <c r="P16" s="11" t="s">
        <v>101</v>
      </c>
      <c r="Q16" s="11" t="s">
        <v>102</v>
      </c>
      <c r="R16" s="11">
        <v>674449</v>
      </c>
      <c r="S16" s="11">
        <v>414395</v>
      </c>
      <c r="T16" s="11">
        <v>61.442</v>
      </c>
      <c r="U16" s="11">
        <v>414990</v>
      </c>
      <c r="V16" s="11">
        <v>61.53</v>
      </c>
      <c r="W16" s="11">
        <v>324379</v>
      </c>
      <c r="X16" s="11">
        <v>848</v>
      </c>
      <c r="Y16" s="11">
        <v>0</v>
      </c>
      <c r="Z16" s="11">
        <v>48.094999999999999</v>
      </c>
      <c r="AA16" s="11">
        <v>57381</v>
      </c>
      <c r="AB16" s="11">
        <v>0</v>
      </c>
      <c r="AC16" s="11">
        <v>0</v>
      </c>
      <c r="AD16" s="11">
        <v>34979</v>
      </c>
      <c r="AE16" s="11">
        <v>0</v>
      </c>
      <c r="AF16" s="11">
        <v>0</v>
      </c>
      <c r="AG16" s="11">
        <v>414395</v>
      </c>
      <c r="AH16" s="11">
        <v>0</v>
      </c>
      <c r="AI16" s="11">
        <v>0</v>
      </c>
      <c r="AJ16" s="11">
        <v>0.20499999999999999</v>
      </c>
      <c r="AK16" s="11">
        <v>0</v>
      </c>
      <c r="AL16" s="11">
        <v>0</v>
      </c>
      <c r="AM16" s="11">
        <v>700831</v>
      </c>
      <c r="AN16" s="11">
        <v>144037</v>
      </c>
      <c r="AO16" s="11">
        <v>20.552</v>
      </c>
      <c r="AP16" s="11">
        <v>80</v>
      </c>
      <c r="AQ16" s="11">
        <v>9</v>
      </c>
      <c r="AR16" s="11">
        <v>1</v>
      </c>
      <c r="AS16" s="11">
        <v>0.9</v>
      </c>
      <c r="AT16" s="11">
        <v>414395</v>
      </c>
      <c r="AU16" s="11">
        <v>61.442</v>
      </c>
      <c r="AV16" s="11">
        <v>0</v>
      </c>
      <c r="AW16" s="11" t="s">
        <v>112</v>
      </c>
      <c r="AX16" s="11">
        <v>0</v>
      </c>
      <c r="AY16" s="11" t="s">
        <v>113</v>
      </c>
      <c r="AZ16" s="11">
        <v>0</v>
      </c>
      <c r="BA16" s="11" t="s">
        <v>159</v>
      </c>
      <c r="BB16" s="11">
        <v>83193</v>
      </c>
      <c r="BC16" s="11">
        <v>13487</v>
      </c>
      <c r="BD16" s="11">
        <v>16.212</v>
      </c>
      <c r="BE16" s="11">
        <v>610</v>
      </c>
      <c r="BF16" s="11">
        <v>101</v>
      </c>
      <c r="BG16" s="11">
        <v>16.613</v>
      </c>
      <c r="BH16" s="11">
        <v>0</v>
      </c>
      <c r="BI16" s="11">
        <v>0</v>
      </c>
      <c r="BJ16" s="11" t="s">
        <v>160</v>
      </c>
      <c r="BK16" s="11">
        <v>408947</v>
      </c>
      <c r="BL16" s="11">
        <v>289601</v>
      </c>
      <c r="BM16" s="11">
        <v>70.816000000000003</v>
      </c>
      <c r="BN16" s="11">
        <v>53564</v>
      </c>
      <c r="BO16" s="11">
        <v>112676</v>
      </c>
      <c r="BP16" s="11">
        <v>210.35900000000001</v>
      </c>
      <c r="BQ16" s="11">
        <v>1</v>
      </c>
      <c r="BR16" s="11">
        <v>0</v>
      </c>
      <c r="BS16" s="11" t="s">
        <v>114</v>
      </c>
      <c r="BT16" s="11">
        <v>109686</v>
      </c>
      <c r="BU16" s="11">
        <v>34093</v>
      </c>
      <c r="BV16" s="11">
        <v>31.082000000000001</v>
      </c>
      <c r="BW16" s="11">
        <v>0</v>
      </c>
      <c r="BX16" s="11">
        <v>197438</v>
      </c>
      <c r="BY16" s="11">
        <v>163557</v>
      </c>
      <c r="BZ16" s="11">
        <v>82.838999999999999</v>
      </c>
      <c r="CA16" s="11">
        <v>163557</v>
      </c>
      <c r="CB16" s="11">
        <v>82.838999999999999</v>
      </c>
      <c r="CC16" s="11">
        <v>0</v>
      </c>
      <c r="CD16" s="11">
        <v>0</v>
      </c>
      <c r="CE16" s="11" t="s">
        <v>161</v>
      </c>
      <c r="CF16" s="11">
        <v>17371</v>
      </c>
      <c r="CG16" s="11">
        <v>-120</v>
      </c>
      <c r="CH16" s="11">
        <v>-0.68899999999999995</v>
      </c>
      <c r="CI16" s="11">
        <v>8272</v>
      </c>
      <c r="CJ16" s="11">
        <v>0</v>
      </c>
      <c r="CK16" s="11">
        <v>0</v>
      </c>
      <c r="CL16" s="11">
        <v>0</v>
      </c>
      <c r="CM16" s="11">
        <v>0</v>
      </c>
      <c r="CN16" s="11" t="s">
        <v>117</v>
      </c>
      <c r="CO16" s="11">
        <v>0</v>
      </c>
      <c r="CQ16">
        <f>SUMIFS([1]Working!$DC:$DC,[1]Working!$E:$E,H16)</f>
        <v>0</v>
      </c>
      <c r="CR16">
        <f t="shared" si="0"/>
        <v>0</v>
      </c>
    </row>
    <row r="17" spans="1:96" x14ac:dyDescent="0.35">
      <c r="A17" s="9" t="s">
        <v>93</v>
      </c>
      <c r="B17" s="9" t="s">
        <v>94</v>
      </c>
      <c r="C17" s="9">
        <v>92</v>
      </c>
      <c r="D17" s="9" t="s">
        <v>95</v>
      </c>
      <c r="E17" s="9" t="s">
        <v>169</v>
      </c>
      <c r="F17" s="9" t="s">
        <v>96</v>
      </c>
      <c r="G17" s="9" t="s">
        <v>181</v>
      </c>
      <c r="H17" s="9" t="s">
        <v>182</v>
      </c>
      <c r="I17" s="9" t="s">
        <v>183</v>
      </c>
      <c r="J17" s="9" t="s">
        <v>121</v>
      </c>
      <c r="K17" s="10">
        <v>43839</v>
      </c>
      <c r="L17" s="9" t="s">
        <v>100</v>
      </c>
      <c r="M17" s="9" t="s">
        <v>184</v>
      </c>
      <c r="N17" s="9"/>
      <c r="O17" s="9">
        <v>1</v>
      </c>
      <c r="P17" s="11" t="s">
        <v>101</v>
      </c>
      <c r="Q17" s="11" t="s">
        <v>102</v>
      </c>
      <c r="R17" s="11">
        <v>513285</v>
      </c>
      <c r="S17" s="11">
        <v>590631</v>
      </c>
      <c r="T17" s="11">
        <v>115.069</v>
      </c>
      <c r="U17" s="11">
        <v>675030</v>
      </c>
      <c r="V17" s="11">
        <v>131.512</v>
      </c>
      <c r="W17" s="11">
        <v>183329</v>
      </c>
      <c r="X17" s="11">
        <v>0</v>
      </c>
      <c r="Y17" s="11">
        <v>0</v>
      </c>
      <c r="Z17" s="11">
        <v>35.716999999999999</v>
      </c>
      <c r="AA17" s="11">
        <v>5266</v>
      </c>
      <c r="AB17" s="11">
        <v>25384</v>
      </c>
      <c r="AC17" s="11">
        <v>482.08199999999999</v>
      </c>
      <c r="AD17" s="11">
        <v>23962</v>
      </c>
      <c r="AE17" s="11">
        <v>27750</v>
      </c>
      <c r="AF17" s="11">
        <v>115.81100000000001</v>
      </c>
      <c r="AG17" s="11">
        <v>590631</v>
      </c>
      <c r="AH17" s="11">
        <v>0</v>
      </c>
      <c r="AI17" s="11">
        <v>0</v>
      </c>
      <c r="AJ17" s="11">
        <v>0</v>
      </c>
      <c r="AK17" s="11">
        <v>0</v>
      </c>
      <c r="AL17" s="11">
        <v>1</v>
      </c>
      <c r="AM17" s="11">
        <v>519393</v>
      </c>
      <c r="AN17" s="11">
        <v>534221</v>
      </c>
      <c r="AO17" s="11">
        <v>102.855</v>
      </c>
      <c r="AP17" s="11">
        <v>100</v>
      </c>
      <c r="AQ17" s="11">
        <v>6</v>
      </c>
      <c r="AR17" s="11">
        <v>0.9</v>
      </c>
      <c r="AS17" s="11">
        <v>1</v>
      </c>
      <c r="AT17" s="11">
        <v>538950</v>
      </c>
      <c r="AU17" s="11">
        <v>105</v>
      </c>
      <c r="AV17" s="11">
        <v>15090.59</v>
      </c>
      <c r="AW17" s="11" t="s">
        <v>103</v>
      </c>
      <c r="AX17" s="11">
        <v>0</v>
      </c>
      <c r="AY17" s="11" t="s">
        <v>130</v>
      </c>
      <c r="AZ17" s="11">
        <v>0</v>
      </c>
      <c r="BA17" s="11" t="s">
        <v>123</v>
      </c>
      <c r="BB17" s="11">
        <v>62288</v>
      </c>
      <c r="BC17" s="11">
        <v>66745</v>
      </c>
      <c r="BD17" s="11">
        <v>107.155</v>
      </c>
      <c r="BE17" s="11">
        <v>457</v>
      </c>
      <c r="BF17" s="11">
        <v>502</v>
      </c>
      <c r="BG17" s="11">
        <v>110.03</v>
      </c>
      <c r="BH17" s="11">
        <v>1</v>
      </c>
      <c r="BI17" s="11">
        <v>2750</v>
      </c>
      <c r="BJ17" s="11" t="s">
        <v>103</v>
      </c>
      <c r="BK17" s="11">
        <v>326215</v>
      </c>
      <c r="BL17" s="11">
        <v>368200</v>
      </c>
      <c r="BM17" s="11">
        <v>112.87</v>
      </c>
      <c r="BN17" s="11">
        <v>114756</v>
      </c>
      <c r="BO17" s="11">
        <v>210589</v>
      </c>
      <c r="BP17" s="11">
        <v>183.511</v>
      </c>
      <c r="BQ17" s="11">
        <v>1</v>
      </c>
      <c r="BR17" s="11">
        <v>2000</v>
      </c>
      <c r="BS17" s="11" t="s">
        <v>103</v>
      </c>
      <c r="BT17" s="11">
        <v>113067</v>
      </c>
      <c r="BU17" s="11">
        <v>63502</v>
      </c>
      <c r="BV17" s="11">
        <v>56.164000000000001</v>
      </c>
      <c r="BW17" s="11">
        <v>0</v>
      </c>
      <c r="BX17" s="11">
        <v>116662</v>
      </c>
      <c r="BY17" s="11">
        <v>60349</v>
      </c>
      <c r="BZ17" s="11">
        <v>51.728999999999999</v>
      </c>
      <c r="CA17" s="11">
        <v>60349</v>
      </c>
      <c r="CB17" s="11">
        <v>51.728999999999999</v>
      </c>
      <c r="CC17" s="11">
        <v>0</v>
      </c>
      <c r="CD17" s="11">
        <v>0</v>
      </c>
      <c r="CE17" s="11" t="s">
        <v>140</v>
      </c>
      <c r="CF17" s="11">
        <v>27243</v>
      </c>
      <c r="CG17" s="11">
        <v>5134</v>
      </c>
      <c r="CH17" s="11">
        <v>18.843</v>
      </c>
      <c r="CI17" s="11">
        <v>8272</v>
      </c>
      <c r="CJ17" s="11">
        <v>5134</v>
      </c>
      <c r="CK17" s="11">
        <v>62.061</v>
      </c>
      <c r="CL17" s="11">
        <v>0</v>
      </c>
      <c r="CM17" s="11">
        <v>0</v>
      </c>
      <c r="CN17" s="11" t="s">
        <v>124</v>
      </c>
      <c r="CO17" s="11">
        <v>19840.59</v>
      </c>
      <c r="CQ17">
        <f>SUMIFS([1]Working!$DC:$DC,[1]Working!$E:$E,H17)</f>
        <v>19840.590413962007</v>
      </c>
      <c r="CR17">
        <f t="shared" si="0"/>
        <v>-4.13962006859947E-4</v>
      </c>
    </row>
    <row r="18" spans="1:96" x14ac:dyDescent="0.35">
      <c r="A18" s="9" t="s">
        <v>93</v>
      </c>
      <c r="B18" s="9" t="s">
        <v>94</v>
      </c>
      <c r="C18" s="9">
        <v>92</v>
      </c>
      <c r="D18" s="9" t="s">
        <v>95</v>
      </c>
      <c r="E18" s="9" t="s">
        <v>169</v>
      </c>
      <c r="F18" s="9" t="s">
        <v>96</v>
      </c>
      <c r="G18" s="9" t="s">
        <v>185</v>
      </c>
      <c r="H18" s="9" t="s">
        <v>186</v>
      </c>
      <c r="I18" s="9" t="s">
        <v>187</v>
      </c>
      <c r="J18" s="9" t="s">
        <v>121</v>
      </c>
      <c r="K18" s="10">
        <v>44420</v>
      </c>
      <c r="L18" s="9" t="s">
        <v>100</v>
      </c>
      <c r="M18" s="9" t="s">
        <v>188</v>
      </c>
      <c r="N18" s="9"/>
      <c r="O18" s="9">
        <v>1</v>
      </c>
      <c r="P18" s="11" t="s">
        <v>101</v>
      </c>
      <c r="Q18" s="11" t="s">
        <v>102</v>
      </c>
      <c r="R18" s="11">
        <v>620166</v>
      </c>
      <c r="S18" s="11">
        <v>625220</v>
      </c>
      <c r="T18" s="11">
        <v>100.815</v>
      </c>
      <c r="U18" s="11">
        <v>524534</v>
      </c>
      <c r="V18" s="11">
        <v>84.58</v>
      </c>
      <c r="W18" s="11">
        <v>-14152</v>
      </c>
      <c r="X18" s="11">
        <v>0</v>
      </c>
      <c r="Y18" s="11">
        <v>0</v>
      </c>
      <c r="Z18" s="11">
        <v>-2.282</v>
      </c>
      <c r="AA18" s="11">
        <v>92494</v>
      </c>
      <c r="AB18" s="11">
        <v>283373</v>
      </c>
      <c r="AC18" s="11">
        <v>306.37</v>
      </c>
      <c r="AD18" s="11">
        <v>28709</v>
      </c>
      <c r="AE18" s="11">
        <v>0</v>
      </c>
      <c r="AF18" s="11">
        <v>0</v>
      </c>
      <c r="AG18" s="11">
        <v>600958</v>
      </c>
      <c r="AH18" s="11">
        <v>0</v>
      </c>
      <c r="AI18" s="11">
        <v>0</v>
      </c>
      <c r="AJ18" s="11">
        <v>0</v>
      </c>
      <c r="AK18" s="11">
        <v>0</v>
      </c>
      <c r="AL18" s="11">
        <v>0</v>
      </c>
      <c r="AM18" s="11">
        <v>639864</v>
      </c>
      <c r="AN18" s="11">
        <v>-688</v>
      </c>
      <c r="AO18" s="11">
        <v>-0.107</v>
      </c>
      <c r="AP18" s="11">
        <v>100</v>
      </c>
      <c r="AQ18" s="11">
        <v>7</v>
      </c>
      <c r="AR18" s="11">
        <v>1</v>
      </c>
      <c r="AS18" s="11">
        <v>1</v>
      </c>
      <c r="AT18" s="11">
        <v>600958</v>
      </c>
      <c r="AU18" s="11">
        <v>96.903000000000006</v>
      </c>
      <c r="AV18" s="11">
        <v>0</v>
      </c>
      <c r="AW18" s="11" t="s">
        <v>112</v>
      </c>
      <c r="AX18" s="11">
        <v>0</v>
      </c>
      <c r="AY18" s="11" t="s">
        <v>158</v>
      </c>
      <c r="AZ18" s="11">
        <v>0</v>
      </c>
      <c r="BA18" s="11" t="s">
        <v>123</v>
      </c>
      <c r="BB18" s="11">
        <v>38023</v>
      </c>
      <c r="BC18" s="11">
        <v>40838</v>
      </c>
      <c r="BD18" s="11">
        <v>107.40300000000001</v>
      </c>
      <c r="BE18" s="11">
        <v>280</v>
      </c>
      <c r="BF18" s="11">
        <v>307</v>
      </c>
      <c r="BG18" s="11">
        <v>109.839</v>
      </c>
      <c r="BH18" s="11">
        <v>1</v>
      </c>
      <c r="BI18" s="11">
        <v>2000</v>
      </c>
      <c r="BJ18" s="11" t="s">
        <v>103</v>
      </c>
      <c r="BK18" s="11">
        <v>379985</v>
      </c>
      <c r="BL18" s="11">
        <v>600958</v>
      </c>
      <c r="BM18" s="11">
        <v>158.15299999999999</v>
      </c>
      <c r="BN18" s="11">
        <v>129564</v>
      </c>
      <c r="BO18" s="11">
        <v>185829</v>
      </c>
      <c r="BP18" s="11">
        <v>143.42599999999999</v>
      </c>
      <c r="BQ18" s="11">
        <v>1</v>
      </c>
      <c r="BR18" s="11">
        <v>2000</v>
      </c>
      <c r="BS18" s="11" t="s">
        <v>103</v>
      </c>
      <c r="BT18" s="11">
        <v>80080</v>
      </c>
      <c r="BU18" s="11">
        <v>112350</v>
      </c>
      <c r="BV18" s="11">
        <v>140.298</v>
      </c>
      <c r="BW18" s="11">
        <v>24262</v>
      </c>
      <c r="BX18" s="11">
        <v>103638</v>
      </c>
      <c r="BY18" s="11">
        <v>112613</v>
      </c>
      <c r="BZ18" s="11">
        <v>108.661</v>
      </c>
      <c r="CA18" s="11">
        <v>88351</v>
      </c>
      <c r="CB18" s="11">
        <v>85.25</v>
      </c>
      <c r="CC18" s="11">
        <v>0</v>
      </c>
      <c r="CD18" s="11">
        <v>0</v>
      </c>
      <c r="CE18" s="11" t="s">
        <v>140</v>
      </c>
      <c r="CF18" s="11">
        <v>16266</v>
      </c>
      <c r="CG18" s="11">
        <v>2567</v>
      </c>
      <c r="CH18" s="11">
        <v>15.78</v>
      </c>
      <c r="CI18" s="11">
        <v>8272</v>
      </c>
      <c r="CJ18" s="11">
        <v>2567</v>
      </c>
      <c r="CK18" s="11">
        <v>31.03</v>
      </c>
      <c r="CL18" s="11">
        <v>0</v>
      </c>
      <c r="CM18" s="11">
        <v>0</v>
      </c>
      <c r="CN18" s="11" t="s">
        <v>124</v>
      </c>
      <c r="CO18" s="11">
        <v>4000</v>
      </c>
      <c r="CQ18">
        <f>SUMIFS([1]Working!$DC:$DC,[1]Working!$E:$E,H18)</f>
        <v>4000</v>
      </c>
      <c r="CR18">
        <f t="shared" si="0"/>
        <v>0</v>
      </c>
    </row>
    <row r="19" spans="1:96" x14ac:dyDescent="0.35">
      <c r="A19" s="9" t="s">
        <v>93</v>
      </c>
      <c r="B19" s="9" t="s">
        <v>94</v>
      </c>
      <c r="C19" s="9">
        <v>92</v>
      </c>
      <c r="D19" s="9" t="s">
        <v>95</v>
      </c>
      <c r="E19" s="9" t="s">
        <v>169</v>
      </c>
      <c r="F19" s="9" t="s">
        <v>96</v>
      </c>
      <c r="G19" s="9" t="s">
        <v>189</v>
      </c>
      <c r="H19" s="9" t="s">
        <v>190</v>
      </c>
      <c r="I19" s="9" t="s">
        <v>191</v>
      </c>
      <c r="J19" s="9" t="s">
        <v>121</v>
      </c>
      <c r="K19" s="10">
        <v>45079</v>
      </c>
      <c r="L19" s="9" t="s">
        <v>100</v>
      </c>
      <c r="M19" s="9" t="s">
        <v>192</v>
      </c>
      <c r="N19" s="9"/>
      <c r="O19" s="9">
        <v>1</v>
      </c>
      <c r="P19" s="11" t="s">
        <v>101</v>
      </c>
      <c r="Q19" s="11" t="s">
        <v>102</v>
      </c>
      <c r="R19" s="11">
        <v>365616</v>
      </c>
      <c r="S19" s="11">
        <v>379820</v>
      </c>
      <c r="T19" s="11">
        <v>103.88500000000001</v>
      </c>
      <c r="U19" s="11">
        <v>362831</v>
      </c>
      <c r="V19" s="11">
        <v>99.238</v>
      </c>
      <c r="W19" s="11">
        <v>197596</v>
      </c>
      <c r="X19" s="11">
        <v>1331</v>
      </c>
      <c r="Y19" s="11">
        <v>0</v>
      </c>
      <c r="Z19" s="11">
        <v>54.045000000000002</v>
      </c>
      <c r="AA19" s="11">
        <v>13583</v>
      </c>
      <c r="AB19" s="11">
        <v>8855</v>
      </c>
      <c r="AC19" s="11">
        <v>65.19</v>
      </c>
      <c r="AD19" s="11">
        <v>9721</v>
      </c>
      <c r="AE19" s="11">
        <v>3700</v>
      </c>
      <c r="AF19" s="11">
        <v>38.061</v>
      </c>
      <c r="AG19" s="11">
        <v>379820</v>
      </c>
      <c r="AH19" s="11">
        <v>0</v>
      </c>
      <c r="AI19" s="11">
        <v>0</v>
      </c>
      <c r="AJ19" s="11">
        <v>0.35</v>
      </c>
      <c r="AK19" s="11">
        <v>0</v>
      </c>
      <c r="AL19" s="11">
        <v>1</v>
      </c>
      <c r="AM19" s="11">
        <v>394409</v>
      </c>
      <c r="AN19" s="11">
        <v>418473</v>
      </c>
      <c r="AO19" s="11">
        <v>106.101</v>
      </c>
      <c r="AP19" s="11">
        <v>100</v>
      </c>
      <c r="AQ19" s="11">
        <v>6</v>
      </c>
      <c r="AR19" s="11">
        <v>0.9</v>
      </c>
      <c r="AS19" s="11">
        <v>1</v>
      </c>
      <c r="AT19" s="11">
        <v>379820</v>
      </c>
      <c r="AU19" s="11">
        <v>103.88500000000001</v>
      </c>
      <c r="AV19" s="11">
        <v>10445.063</v>
      </c>
      <c r="AW19" s="11" t="s">
        <v>103</v>
      </c>
      <c r="AX19" s="11">
        <v>1500</v>
      </c>
      <c r="AY19" s="11" t="s">
        <v>103</v>
      </c>
      <c r="AZ19" s="11">
        <v>0</v>
      </c>
      <c r="BA19" s="11" t="s">
        <v>123</v>
      </c>
      <c r="BB19" s="11">
        <v>28060</v>
      </c>
      <c r="BC19" s="11">
        <v>82432</v>
      </c>
      <c r="BD19" s="11">
        <v>293.77300000000002</v>
      </c>
      <c r="BE19" s="11">
        <v>206</v>
      </c>
      <c r="BF19" s="11">
        <v>578</v>
      </c>
      <c r="BG19" s="11">
        <v>280.76900000000001</v>
      </c>
      <c r="BH19" s="11">
        <v>1</v>
      </c>
      <c r="BI19" s="11">
        <v>2000</v>
      </c>
      <c r="BJ19" s="11" t="s">
        <v>103</v>
      </c>
      <c r="BK19" s="11">
        <v>307733</v>
      </c>
      <c r="BL19" s="11">
        <v>366851</v>
      </c>
      <c r="BM19" s="11">
        <v>119.211</v>
      </c>
      <c r="BN19" s="11">
        <v>125925</v>
      </c>
      <c r="BO19" s="11">
        <v>129766</v>
      </c>
      <c r="BP19" s="11">
        <v>103.051</v>
      </c>
      <c r="BQ19" s="11">
        <v>1</v>
      </c>
      <c r="BR19" s="11">
        <v>1750</v>
      </c>
      <c r="BS19" s="11" t="s">
        <v>103</v>
      </c>
      <c r="BT19" s="11">
        <v>112612</v>
      </c>
      <c r="BU19" s="11">
        <v>97696</v>
      </c>
      <c r="BV19" s="11">
        <v>86.754999999999995</v>
      </c>
      <c r="BW19" s="11">
        <v>0</v>
      </c>
      <c r="BX19" s="11">
        <v>118006</v>
      </c>
      <c r="BY19" s="11">
        <v>102952</v>
      </c>
      <c r="BZ19" s="11">
        <v>87.242999999999995</v>
      </c>
      <c r="CA19" s="11">
        <v>102952</v>
      </c>
      <c r="CB19" s="11">
        <v>87.242999999999995</v>
      </c>
      <c r="CC19" s="11">
        <v>0</v>
      </c>
      <c r="CD19" s="11">
        <v>0</v>
      </c>
      <c r="CE19" s="11" t="s">
        <v>140</v>
      </c>
      <c r="CF19" s="11">
        <v>22159</v>
      </c>
      <c r="CG19" s="11">
        <v>42847</v>
      </c>
      <c r="CH19" s="11">
        <v>193.35900000000001</v>
      </c>
      <c r="CI19" s="11">
        <v>8272</v>
      </c>
      <c r="CJ19" s="11">
        <v>0</v>
      </c>
      <c r="CK19" s="11">
        <v>0</v>
      </c>
      <c r="CL19" s="11">
        <v>1</v>
      </c>
      <c r="CM19" s="11">
        <v>0</v>
      </c>
      <c r="CN19" s="11" t="s">
        <v>153</v>
      </c>
      <c r="CO19" s="11">
        <v>15695.063</v>
      </c>
      <c r="CQ19">
        <f>SUMIFS([1]Working!$DC:$DC,[1]Working!$E:$E,H19)</f>
        <v>15695.063199999991</v>
      </c>
      <c r="CR19">
        <f t="shared" si="0"/>
        <v>-1.9999999130959623E-4</v>
      </c>
    </row>
    <row r="20" spans="1:96" x14ac:dyDescent="0.35">
      <c r="A20" s="9" t="s">
        <v>93</v>
      </c>
      <c r="B20" s="9" t="s">
        <v>94</v>
      </c>
      <c r="C20" s="9">
        <v>92</v>
      </c>
      <c r="D20" s="9" t="s">
        <v>95</v>
      </c>
      <c r="E20" s="9" t="s">
        <v>169</v>
      </c>
      <c r="F20" s="9" t="s">
        <v>96</v>
      </c>
      <c r="G20" s="9" t="s">
        <v>193</v>
      </c>
      <c r="H20" s="9" t="s">
        <v>194</v>
      </c>
      <c r="I20" s="9" t="s">
        <v>195</v>
      </c>
      <c r="J20" s="9" t="s">
        <v>121</v>
      </c>
      <c r="K20" s="10">
        <v>43006</v>
      </c>
      <c r="L20" s="9" t="s">
        <v>100</v>
      </c>
      <c r="M20" s="9" t="s">
        <v>196</v>
      </c>
      <c r="N20" s="9"/>
      <c r="O20" s="9">
        <v>1</v>
      </c>
      <c r="P20" s="11" t="s">
        <v>101</v>
      </c>
      <c r="Q20" s="11" t="s">
        <v>102</v>
      </c>
      <c r="R20" s="11">
        <v>528667</v>
      </c>
      <c r="S20" s="11">
        <v>541911</v>
      </c>
      <c r="T20" s="11">
        <v>102.505</v>
      </c>
      <c r="U20" s="11">
        <v>489537</v>
      </c>
      <c r="V20" s="11">
        <v>92.599000000000004</v>
      </c>
      <c r="W20" s="11">
        <v>277747</v>
      </c>
      <c r="X20" s="11">
        <v>3737</v>
      </c>
      <c r="Y20" s="11">
        <v>0</v>
      </c>
      <c r="Z20" s="11">
        <v>52.536999999999999</v>
      </c>
      <c r="AA20" s="11">
        <v>28441</v>
      </c>
      <c r="AB20" s="11">
        <v>8787</v>
      </c>
      <c r="AC20" s="11">
        <v>30.896000000000001</v>
      </c>
      <c r="AD20" s="11">
        <v>7396</v>
      </c>
      <c r="AE20" s="11">
        <v>12210</v>
      </c>
      <c r="AF20" s="11">
        <v>165.09899999999999</v>
      </c>
      <c r="AG20" s="11">
        <v>535228</v>
      </c>
      <c r="AH20" s="11">
        <v>4814</v>
      </c>
      <c r="AI20" s="11">
        <v>0</v>
      </c>
      <c r="AJ20" s="11">
        <v>0.69599999999999995</v>
      </c>
      <c r="AK20" s="11">
        <v>1869</v>
      </c>
      <c r="AL20" s="11">
        <v>1</v>
      </c>
      <c r="AM20" s="11">
        <v>563575</v>
      </c>
      <c r="AN20" s="11">
        <v>657638</v>
      </c>
      <c r="AO20" s="11">
        <v>116.69</v>
      </c>
      <c r="AP20" s="11">
        <v>98</v>
      </c>
      <c r="AQ20" s="11">
        <v>7</v>
      </c>
      <c r="AR20" s="11">
        <v>1</v>
      </c>
      <c r="AS20" s="11">
        <v>1</v>
      </c>
      <c r="AT20" s="11">
        <v>535228</v>
      </c>
      <c r="AU20" s="11">
        <v>101.241</v>
      </c>
      <c r="AV20" s="11">
        <v>14451.154</v>
      </c>
      <c r="AW20" s="11" t="s">
        <v>103</v>
      </c>
      <c r="AX20" s="11">
        <v>1500</v>
      </c>
      <c r="AY20" s="11" t="s">
        <v>103</v>
      </c>
      <c r="AZ20" s="11">
        <v>0</v>
      </c>
      <c r="BA20" s="11" t="s">
        <v>123</v>
      </c>
      <c r="BB20" s="11">
        <v>22856</v>
      </c>
      <c r="BC20" s="11">
        <v>63194</v>
      </c>
      <c r="BD20" s="11">
        <v>276.49299999999999</v>
      </c>
      <c r="BE20" s="11">
        <v>168</v>
      </c>
      <c r="BF20" s="11">
        <v>437</v>
      </c>
      <c r="BG20" s="11">
        <v>260.09300000000002</v>
      </c>
      <c r="BH20" s="11">
        <v>1</v>
      </c>
      <c r="BI20" s="11">
        <v>2000</v>
      </c>
      <c r="BJ20" s="11" t="s">
        <v>103</v>
      </c>
      <c r="BK20" s="11">
        <v>333029</v>
      </c>
      <c r="BL20" s="11">
        <v>260603</v>
      </c>
      <c r="BM20" s="11">
        <v>78.251999999999995</v>
      </c>
      <c r="BN20" s="11">
        <v>111919</v>
      </c>
      <c r="BO20" s="11">
        <v>104612</v>
      </c>
      <c r="BP20" s="11">
        <v>93.471000000000004</v>
      </c>
      <c r="BQ20" s="11">
        <v>0</v>
      </c>
      <c r="BR20" s="11">
        <v>0</v>
      </c>
      <c r="BS20" s="11" t="s">
        <v>197</v>
      </c>
      <c r="BT20" s="11">
        <v>154906</v>
      </c>
      <c r="BU20" s="11">
        <v>76522</v>
      </c>
      <c r="BV20" s="11">
        <v>49.399000000000001</v>
      </c>
      <c r="BW20" s="11">
        <v>0</v>
      </c>
      <c r="BX20" s="11">
        <v>158040</v>
      </c>
      <c r="BY20" s="11">
        <v>79325</v>
      </c>
      <c r="BZ20" s="11">
        <v>50.192999999999998</v>
      </c>
      <c r="CA20" s="11">
        <v>79325</v>
      </c>
      <c r="CB20" s="11">
        <v>50.192999999999998</v>
      </c>
      <c r="CC20" s="11">
        <v>0</v>
      </c>
      <c r="CD20" s="11">
        <v>0</v>
      </c>
      <c r="CE20" s="11" t="s">
        <v>140</v>
      </c>
      <c r="CF20" s="11">
        <v>11774</v>
      </c>
      <c r="CG20" s="11">
        <v>9500</v>
      </c>
      <c r="CH20" s="11">
        <v>80.683000000000007</v>
      </c>
      <c r="CI20" s="11">
        <v>8272</v>
      </c>
      <c r="CJ20" s="11">
        <v>9626</v>
      </c>
      <c r="CK20" s="11">
        <v>116.364</v>
      </c>
      <c r="CL20" s="11">
        <v>0</v>
      </c>
      <c r="CM20" s="11">
        <v>0</v>
      </c>
      <c r="CN20" s="11" t="s">
        <v>198</v>
      </c>
      <c r="CO20" s="11">
        <v>17951.153999999999</v>
      </c>
      <c r="CQ20">
        <f>SUMIFS([1]Working!$DC:$DC,[1]Working!$E:$E,H20)</f>
        <v>17951.154421309999</v>
      </c>
      <c r="CR20">
        <f t="shared" si="0"/>
        <v>-4.2131000009248964E-4</v>
      </c>
    </row>
    <row r="21" spans="1:96" x14ac:dyDescent="0.35">
      <c r="A21" s="9" t="s">
        <v>93</v>
      </c>
      <c r="B21" s="9" t="s">
        <v>94</v>
      </c>
      <c r="C21" s="9">
        <v>92</v>
      </c>
      <c r="D21" s="9" t="s">
        <v>95</v>
      </c>
      <c r="E21" s="9" t="s">
        <v>169</v>
      </c>
      <c r="F21" s="9" t="s">
        <v>96</v>
      </c>
      <c r="G21" s="9" t="s">
        <v>199</v>
      </c>
      <c r="H21" s="9" t="s">
        <v>200</v>
      </c>
      <c r="I21" s="9" t="s">
        <v>201</v>
      </c>
      <c r="J21" s="9" t="s">
        <v>121</v>
      </c>
      <c r="K21" s="10">
        <v>43306</v>
      </c>
      <c r="L21" s="9" t="s">
        <v>100</v>
      </c>
      <c r="M21" s="9" t="s">
        <v>202</v>
      </c>
      <c r="N21" s="9"/>
      <c r="O21" s="9">
        <v>1</v>
      </c>
      <c r="P21" s="11" t="s">
        <v>101</v>
      </c>
      <c r="Q21" s="11" t="s">
        <v>102</v>
      </c>
      <c r="R21" s="11">
        <v>560377</v>
      </c>
      <c r="S21" s="11">
        <v>578785</v>
      </c>
      <c r="T21" s="11">
        <v>103.285</v>
      </c>
      <c r="U21" s="11">
        <v>702673</v>
      </c>
      <c r="V21" s="11">
        <v>125.393</v>
      </c>
      <c r="W21" s="11">
        <v>331420</v>
      </c>
      <c r="X21" s="11">
        <v>0</v>
      </c>
      <c r="Y21" s="11">
        <v>0</v>
      </c>
      <c r="Z21" s="11">
        <v>59.142000000000003</v>
      </c>
      <c r="AA21" s="11">
        <v>11225</v>
      </c>
      <c r="AB21" s="11">
        <v>0</v>
      </c>
      <c r="AC21" s="11">
        <v>0</v>
      </c>
      <c r="AD21" s="11">
        <v>8110</v>
      </c>
      <c r="AE21" s="11">
        <v>11100</v>
      </c>
      <c r="AF21" s="11">
        <v>136.863</v>
      </c>
      <c r="AG21" s="11">
        <v>575796</v>
      </c>
      <c r="AH21" s="11">
        <v>2990</v>
      </c>
      <c r="AI21" s="11">
        <v>0</v>
      </c>
      <c r="AJ21" s="11">
        <v>0</v>
      </c>
      <c r="AK21" s="11">
        <v>0</v>
      </c>
      <c r="AL21" s="11">
        <v>1</v>
      </c>
      <c r="AM21" s="11">
        <v>550970</v>
      </c>
      <c r="AN21" s="11">
        <v>589547</v>
      </c>
      <c r="AO21" s="11">
        <v>107.002</v>
      </c>
      <c r="AP21" s="11">
        <v>100</v>
      </c>
      <c r="AQ21" s="11">
        <v>8</v>
      </c>
      <c r="AR21" s="11">
        <v>1</v>
      </c>
      <c r="AS21" s="11">
        <v>1</v>
      </c>
      <c r="AT21" s="11">
        <v>575796</v>
      </c>
      <c r="AU21" s="11">
        <v>102.752</v>
      </c>
      <c r="AV21" s="11">
        <v>15834.377</v>
      </c>
      <c r="AW21" s="11" t="s">
        <v>103</v>
      </c>
      <c r="AX21" s="11">
        <v>1500</v>
      </c>
      <c r="AY21" s="11" t="s">
        <v>103</v>
      </c>
      <c r="AZ21" s="11">
        <v>0</v>
      </c>
      <c r="BA21" s="11" t="s">
        <v>123</v>
      </c>
      <c r="BB21" s="11">
        <v>104203</v>
      </c>
      <c r="BC21" s="11">
        <v>268958</v>
      </c>
      <c r="BD21" s="11">
        <v>258.10899999999998</v>
      </c>
      <c r="BE21" s="11">
        <v>769</v>
      </c>
      <c r="BF21" s="11">
        <v>1944</v>
      </c>
      <c r="BG21" s="11">
        <v>252.69499999999999</v>
      </c>
      <c r="BH21" s="11">
        <v>1</v>
      </c>
      <c r="BI21" s="11">
        <v>3250</v>
      </c>
      <c r="BJ21" s="11" t="s">
        <v>103</v>
      </c>
      <c r="BK21" s="11">
        <v>428428</v>
      </c>
      <c r="BL21" s="11">
        <v>544283</v>
      </c>
      <c r="BM21" s="11">
        <v>127.042</v>
      </c>
      <c r="BN21" s="11">
        <v>128474</v>
      </c>
      <c r="BO21" s="11">
        <v>95719</v>
      </c>
      <c r="BP21" s="11">
        <v>74.504999999999995</v>
      </c>
      <c r="BQ21" s="11">
        <v>0</v>
      </c>
      <c r="BR21" s="11">
        <v>0</v>
      </c>
      <c r="BS21" s="11" t="s">
        <v>197</v>
      </c>
      <c r="BT21" s="11">
        <v>139314</v>
      </c>
      <c r="BU21" s="11">
        <v>127005</v>
      </c>
      <c r="BV21" s="11">
        <v>91.164000000000001</v>
      </c>
      <c r="BW21" s="11">
        <v>0</v>
      </c>
      <c r="BX21" s="11">
        <v>174004</v>
      </c>
      <c r="BY21" s="11">
        <v>177462</v>
      </c>
      <c r="BZ21" s="11">
        <v>101.988</v>
      </c>
      <c r="CA21" s="11">
        <v>177462</v>
      </c>
      <c r="CB21" s="11">
        <v>101.988</v>
      </c>
      <c r="CC21" s="11">
        <v>1</v>
      </c>
      <c r="CD21" s="11">
        <v>2750</v>
      </c>
      <c r="CE21" s="11" t="s">
        <v>103</v>
      </c>
      <c r="CF21" s="11">
        <v>10522</v>
      </c>
      <c r="CG21" s="11">
        <v>5134</v>
      </c>
      <c r="CH21" s="11">
        <v>48.787999999999997</v>
      </c>
      <c r="CI21" s="11">
        <v>8272</v>
      </c>
      <c r="CJ21" s="11">
        <v>5134</v>
      </c>
      <c r="CK21" s="11">
        <v>62.061</v>
      </c>
      <c r="CL21" s="11">
        <v>0</v>
      </c>
      <c r="CM21" s="11">
        <v>0</v>
      </c>
      <c r="CN21" s="11" t="s">
        <v>124</v>
      </c>
      <c r="CO21" s="11">
        <v>23334.377</v>
      </c>
      <c r="CQ21">
        <f>SUMIFS([1]Working!$DC:$DC,[1]Working!$E:$E,H21)</f>
        <v>23334.376704024999</v>
      </c>
      <c r="CR21">
        <f t="shared" si="0"/>
        <v>2.9597500179079361E-4</v>
      </c>
    </row>
    <row r="22" spans="1:96" x14ac:dyDescent="0.35">
      <c r="A22" s="9" t="s">
        <v>93</v>
      </c>
      <c r="B22" s="9" t="s">
        <v>94</v>
      </c>
      <c r="C22" s="9">
        <v>92</v>
      </c>
      <c r="D22" s="9" t="s">
        <v>95</v>
      </c>
      <c r="E22" s="9" t="s">
        <v>169</v>
      </c>
      <c r="F22" s="9" t="s">
        <v>96</v>
      </c>
      <c r="G22" s="9" t="s">
        <v>203</v>
      </c>
      <c r="H22" s="9" t="s">
        <v>204</v>
      </c>
      <c r="I22" s="9" t="s">
        <v>205</v>
      </c>
      <c r="J22" s="9" t="s">
        <v>121</v>
      </c>
      <c r="K22" s="10">
        <v>45174</v>
      </c>
      <c r="L22" s="9" t="s">
        <v>100</v>
      </c>
      <c r="M22" s="9" t="s">
        <v>206</v>
      </c>
      <c r="N22" s="9"/>
      <c r="O22" s="9">
        <v>1</v>
      </c>
      <c r="P22" s="11" t="s">
        <v>101</v>
      </c>
      <c r="Q22" s="11" t="s">
        <v>102</v>
      </c>
      <c r="R22" s="11">
        <v>359582</v>
      </c>
      <c r="S22" s="11">
        <v>402985</v>
      </c>
      <c r="T22" s="11">
        <v>112.07</v>
      </c>
      <c r="U22" s="11">
        <v>392303</v>
      </c>
      <c r="V22" s="11">
        <v>109.1</v>
      </c>
      <c r="W22" s="11">
        <v>347735</v>
      </c>
      <c r="X22" s="11">
        <v>1019</v>
      </c>
      <c r="Y22" s="11">
        <v>0</v>
      </c>
      <c r="Z22" s="11">
        <v>96.704999999999998</v>
      </c>
      <c r="AA22" s="11">
        <v>3989</v>
      </c>
      <c r="AB22" s="11">
        <v>0</v>
      </c>
      <c r="AC22" s="11">
        <v>0</v>
      </c>
      <c r="AD22" s="11">
        <v>6588</v>
      </c>
      <c r="AE22" s="11">
        <v>5550</v>
      </c>
      <c r="AF22" s="11">
        <v>84.241</v>
      </c>
      <c r="AG22" s="11">
        <v>402985</v>
      </c>
      <c r="AH22" s="11">
        <v>0</v>
      </c>
      <c r="AI22" s="11">
        <v>0</v>
      </c>
      <c r="AJ22" s="11">
        <v>0.253</v>
      </c>
      <c r="AK22" s="11">
        <v>0</v>
      </c>
      <c r="AL22" s="11">
        <v>1</v>
      </c>
      <c r="AM22" s="11">
        <v>384221</v>
      </c>
      <c r="AN22" s="11">
        <v>464818</v>
      </c>
      <c r="AO22" s="11">
        <v>120.977</v>
      </c>
      <c r="AP22" s="11">
        <v>100</v>
      </c>
      <c r="AQ22" s="11">
        <v>10</v>
      </c>
      <c r="AR22" s="11">
        <v>1</v>
      </c>
      <c r="AS22" s="11">
        <v>1</v>
      </c>
      <c r="AT22" s="11">
        <v>377561</v>
      </c>
      <c r="AU22" s="11">
        <v>105</v>
      </c>
      <c r="AV22" s="11">
        <v>10571.703</v>
      </c>
      <c r="AW22" s="11" t="s">
        <v>103</v>
      </c>
      <c r="AX22" s="11">
        <v>1500</v>
      </c>
      <c r="AY22" s="11" t="s">
        <v>103</v>
      </c>
      <c r="AZ22" s="11">
        <v>0</v>
      </c>
      <c r="BA22" s="11" t="s">
        <v>123</v>
      </c>
      <c r="BB22" s="11">
        <v>57528</v>
      </c>
      <c r="BC22" s="11">
        <v>283602</v>
      </c>
      <c r="BD22" s="11">
        <v>492.98200000000003</v>
      </c>
      <c r="BE22" s="11">
        <v>424</v>
      </c>
      <c r="BF22" s="11">
        <v>2058</v>
      </c>
      <c r="BG22" s="11">
        <v>485.02699999999999</v>
      </c>
      <c r="BH22" s="11">
        <v>1</v>
      </c>
      <c r="BI22" s="11">
        <v>2000</v>
      </c>
      <c r="BJ22" s="11" t="s">
        <v>103</v>
      </c>
      <c r="BK22" s="11">
        <v>250772</v>
      </c>
      <c r="BL22" s="11">
        <v>375864</v>
      </c>
      <c r="BM22" s="11">
        <v>149.88200000000001</v>
      </c>
      <c r="BN22" s="11">
        <v>44774</v>
      </c>
      <c r="BO22" s="11">
        <v>22740</v>
      </c>
      <c r="BP22" s="11">
        <v>50.789000000000001</v>
      </c>
      <c r="BQ22" s="11">
        <v>0</v>
      </c>
      <c r="BR22" s="11">
        <v>0</v>
      </c>
      <c r="BS22" s="11" t="s">
        <v>197</v>
      </c>
      <c r="BT22" s="11">
        <v>110390</v>
      </c>
      <c r="BU22" s="11">
        <v>48848</v>
      </c>
      <c r="BV22" s="11">
        <v>44.25</v>
      </c>
      <c r="BW22" s="11">
        <v>0</v>
      </c>
      <c r="BX22" s="11">
        <v>126514</v>
      </c>
      <c r="BY22" s="11">
        <v>69522</v>
      </c>
      <c r="BZ22" s="11">
        <v>54.951999999999998</v>
      </c>
      <c r="CA22" s="11">
        <v>69522</v>
      </c>
      <c r="CB22" s="11">
        <v>54.951999999999998</v>
      </c>
      <c r="CC22" s="11">
        <v>0</v>
      </c>
      <c r="CD22" s="11">
        <v>0</v>
      </c>
      <c r="CE22" s="11" t="s">
        <v>140</v>
      </c>
      <c r="CF22" s="11">
        <v>17968</v>
      </c>
      <c r="CG22" s="11">
        <v>0</v>
      </c>
      <c r="CH22" s="11">
        <v>0</v>
      </c>
      <c r="CI22" s="11">
        <v>8272</v>
      </c>
      <c r="CJ22" s="11">
        <v>0</v>
      </c>
      <c r="CK22" s="11">
        <v>0</v>
      </c>
      <c r="CL22" s="11">
        <v>0</v>
      </c>
      <c r="CM22" s="11">
        <v>0</v>
      </c>
      <c r="CN22" s="11" t="s">
        <v>124</v>
      </c>
      <c r="CO22" s="11">
        <v>14071.703</v>
      </c>
      <c r="CQ22">
        <f>SUMIFS([1]Working!$DC:$DC,[1]Working!$E:$E,H22)</f>
        <v>14071.70267619201</v>
      </c>
      <c r="CR22">
        <f t="shared" si="0"/>
        <v>3.2380798984377179E-4</v>
      </c>
    </row>
    <row r="23" spans="1:96" x14ac:dyDescent="0.35">
      <c r="A23" s="9" t="s">
        <v>93</v>
      </c>
      <c r="B23" s="9" t="s">
        <v>94</v>
      </c>
      <c r="C23" s="9">
        <v>92</v>
      </c>
      <c r="D23" s="9" t="s">
        <v>95</v>
      </c>
      <c r="E23" s="9" t="s">
        <v>169</v>
      </c>
      <c r="F23" s="9" t="s">
        <v>96</v>
      </c>
      <c r="G23" s="9" t="s">
        <v>207</v>
      </c>
      <c r="H23" s="9" t="s">
        <v>208</v>
      </c>
      <c r="I23" s="9" t="s">
        <v>209</v>
      </c>
      <c r="J23" s="9" t="s">
        <v>121</v>
      </c>
      <c r="K23" s="10">
        <v>45190</v>
      </c>
      <c r="L23" s="9" t="s">
        <v>100</v>
      </c>
      <c r="M23" s="9" t="s">
        <v>210</v>
      </c>
      <c r="N23" s="9"/>
      <c r="O23" s="9">
        <v>1</v>
      </c>
      <c r="P23" s="11" t="s">
        <v>101</v>
      </c>
      <c r="Q23" s="11" t="s">
        <v>102</v>
      </c>
      <c r="R23" s="11">
        <v>365098</v>
      </c>
      <c r="S23" s="11">
        <v>405193</v>
      </c>
      <c r="T23" s="11">
        <v>110.982</v>
      </c>
      <c r="U23" s="11">
        <v>569311</v>
      </c>
      <c r="V23" s="11">
        <v>155.934</v>
      </c>
      <c r="W23" s="11">
        <v>405193</v>
      </c>
      <c r="X23" s="11">
        <v>0</v>
      </c>
      <c r="Y23" s="11">
        <v>0</v>
      </c>
      <c r="Z23" s="11">
        <v>110.982</v>
      </c>
      <c r="AA23" s="11">
        <v>314</v>
      </c>
      <c r="AB23" s="11">
        <v>0</v>
      </c>
      <c r="AC23" s="11">
        <v>0</v>
      </c>
      <c r="AD23" s="11">
        <v>340</v>
      </c>
      <c r="AE23" s="11">
        <v>1850</v>
      </c>
      <c r="AF23" s="11">
        <v>543.31899999999996</v>
      </c>
      <c r="AG23" s="11">
        <v>396431</v>
      </c>
      <c r="AH23" s="11">
        <v>8762</v>
      </c>
      <c r="AI23" s="11">
        <v>0</v>
      </c>
      <c r="AJ23" s="11">
        <v>0</v>
      </c>
      <c r="AK23" s="11">
        <v>0</v>
      </c>
      <c r="AL23" s="11">
        <v>1</v>
      </c>
      <c r="AM23" s="11">
        <v>386693</v>
      </c>
      <c r="AN23" s="11">
        <v>411244</v>
      </c>
      <c r="AO23" s="11">
        <v>106.349</v>
      </c>
      <c r="AP23" s="11">
        <v>98</v>
      </c>
      <c r="AQ23" s="11">
        <v>9</v>
      </c>
      <c r="AR23" s="11">
        <v>1</v>
      </c>
      <c r="AS23" s="11">
        <v>1</v>
      </c>
      <c r="AT23" s="11">
        <v>383353</v>
      </c>
      <c r="AU23" s="11">
        <v>105</v>
      </c>
      <c r="AV23" s="11">
        <v>10733.875</v>
      </c>
      <c r="AW23" s="11" t="s">
        <v>103</v>
      </c>
      <c r="AX23" s="11">
        <v>1500</v>
      </c>
      <c r="AY23" s="11" t="s">
        <v>103</v>
      </c>
      <c r="AZ23" s="11">
        <v>0</v>
      </c>
      <c r="BA23" s="11" t="s">
        <v>123</v>
      </c>
      <c r="BB23" s="11">
        <v>34398</v>
      </c>
      <c r="BC23" s="11">
        <v>23101</v>
      </c>
      <c r="BD23" s="11">
        <v>67.156999999999996</v>
      </c>
      <c r="BE23" s="11">
        <v>252</v>
      </c>
      <c r="BF23" s="11">
        <v>160</v>
      </c>
      <c r="BG23" s="11">
        <v>63.375</v>
      </c>
      <c r="BH23" s="11">
        <v>0</v>
      </c>
      <c r="BI23" s="11">
        <v>0</v>
      </c>
      <c r="BJ23" s="11" t="s">
        <v>211</v>
      </c>
      <c r="BK23" s="11">
        <v>257896</v>
      </c>
      <c r="BL23" s="11">
        <v>308022</v>
      </c>
      <c r="BM23" s="11">
        <v>119.43600000000001</v>
      </c>
      <c r="BN23" s="11">
        <v>74695</v>
      </c>
      <c r="BO23" s="11">
        <v>142128</v>
      </c>
      <c r="BP23" s="11">
        <v>190.27799999999999</v>
      </c>
      <c r="BQ23" s="11">
        <v>1</v>
      </c>
      <c r="BR23" s="11">
        <v>1250</v>
      </c>
      <c r="BS23" s="11" t="s">
        <v>103</v>
      </c>
      <c r="BT23" s="11">
        <v>126628</v>
      </c>
      <c r="BU23" s="11">
        <v>146544</v>
      </c>
      <c r="BV23" s="11">
        <v>115.72799999999999</v>
      </c>
      <c r="BW23" s="11">
        <v>7253</v>
      </c>
      <c r="BX23" s="11">
        <v>129062</v>
      </c>
      <c r="BY23" s="11">
        <v>158808</v>
      </c>
      <c r="BZ23" s="11">
        <v>123.048</v>
      </c>
      <c r="CA23" s="11">
        <v>151555</v>
      </c>
      <c r="CB23" s="11">
        <v>117.428</v>
      </c>
      <c r="CC23" s="11">
        <v>1</v>
      </c>
      <c r="CD23" s="11">
        <v>2500</v>
      </c>
      <c r="CE23" s="11" t="s">
        <v>103</v>
      </c>
      <c r="CF23" s="11">
        <v>19426</v>
      </c>
      <c r="CG23" s="11">
        <v>0</v>
      </c>
      <c r="CH23" s="11">
        <v>0</v>
      </c>
      <c r="CI23" s="11">
        <v>8272</v>
      </c>
      <c r="CJ23" s="11">
        <v>0</v>
      </c>
      <c r="CK23" s="11">
        <v>0</v>
      </c>
      <c r="CL23" s="11">
        <v>0</v>
      </c>
      <c r="CM23" s="11">
        <v>0</v>
      </c>
      <c r="CN23" s="11" t="s">
        <v>124</v>
      </c>
      <c r="CO23" s="11">
        <v>15983.875</v>
      </c>
      <c r="CQ23">
        <f>SUMIFS([1]Working!$DC:$DC,[1]Working!$E:$E,H23)</f>
        <v>15983.875191816</v>
      </c>
      <c r="CR23">
        <f t="shared" si="0"/>
        <v>-1.9181599964213092E-4</v>
      </c>
    </row>
    <row r="24" spans="1:96" x14ac:dyDescent="0.35">
      <c r="A24" s="6" t="s">
        <v>93</v>
      </c>
      <c r="B24" s="6" t="s">
        <v>94</v>
      </c>
      <c r="C24" s="6">
        <v>92</v>
      </c>
      <c r="D24" s="6" t="s">
        <v>95</v>
      </c>
      <c r="E24" s="6" t="s">
        <v>212</v>
      </c>
      <c r="F24" s="6" t="s">
        <v>96</v>
      </c>
      <c r="G24" s="6" t="s">
        <v>212</v>
      </c>
      <c r="H24" s="6" t="s">
        <v>213</v>
      </c>
      <c r="I24" s="6" t="s">
        <v>214</v>
      </c>
      <c r="J24" s="6" t="s">
        <v>110</v>
      </c>
      <c r="K24" s="7">
        <v>40817</v>
      </c>
      <c r="L24" s="6" t="s">
        <v>100</v>
      </c>
      <c r="M24" s="6" t="s">
        <v>100</v>
      </c>
      <c r="N24" s="6"/>
      <c r="O24" s="6">
        <v>9</v>
      </c>
      <c r="P24" s="8" t="s">
        <v>101</v>
      </c>
      <c r="Q24" s="8" t="s">
        <v>102</v>
      </c>
      <c r="R24" s="8">
        <v>4455891</v>
      </c>
      <c r="S24" s="8">
        <v>4496845</v>
      </c>
      <c r="T24" s="8">
        <v>100.919</v>
      </c>
      <c r="U24" s="8">
        <v>4407634</v>
      </c>
      <c r="V24" s="8">
        <v>98.917000000000002</v>
      </c>
      <c r="W24" s="8">
        <v>1887369</v>
      </c>
      <c r="X24" s="8">
        <v>54240</v>
      </c>
      <c r="Y24" s="8">
        <v>25664</v>
      </c>
      <c r="Z24" s="8">
        <v>42.356999999999999</v>
      </c>
      <c r="AA24" s="8">
        <v>308156</v>
      </c>
      <c r="AB24" s="8">
        <v>743105</v>
      </c>
      <c r="AC24" s="8">
        <v>241.14500000000001</v>
      </c>
      <c r="AD24" s="8">
        <v>125737</v>
      </c>
      <c r="AE24" s="8">
        <v>129433</v>
      </c>
      <c r="AF24" s="8">
        <v>102.94</v>
      </c>
      <c r="AG24" s="8">
        <v>4469725</v>
      </c>
      <c r="AH24" s="8">
        <v>0</v>
      </c>
      <c r="AI24" s="8">
        <v>0.57099999999999995</v>
      </c>
      <c r="AJ24" s="8">
        <v>1.206</v>
      </c>
      <c r="AK24" s="8">
        <v>27120</v>
      </c>
      <c r="AL24" s="8">
        <v>7</v>
      </c>
      <c r="AM24" s="8">
        <v>4755267</v>
      </c>
      <c r="AN24" s="8">
        <v>4750028</v>
      </c>
      <c r="AO24" s="8">
        <v>99.89</v>
      </c>
      <c r="AP24" s="8">
        <v>0</v>
      </c>
      <c r="AQ24" s="8">
        <v>0</v>
      </c>
      <c r="AR24" s="8"/>
      <c r="AS24" s="8"/>
      <c r="AT24" s="8">
        <v>4469725</v>
      </c>
      <c r="AU24" s="8">
        <v>100.31</v>
      </c>
      <c r="AV24" s="8">
        <v>23466.058000000001</v>
      </c>
      <c r="AW24" s="8" t="s">
        <v>103</v>
      </c>
      <c r="AX24" s="8">
        <v>1800</v>
      </c>
      <c r="AY24" s="8" t="s">
        <v>103</v>
      </c>
      <c r="AZ24" s="8">
        <v>0</v>
      </c>
      <c r="BA24" s="8" t="s">
        <v>105</v>
      </c>
      <c r="BB24" s="8">
        <v>428401</v>
      </c>
      <c r="BC24" s="8">
        <v>843722</v>
      </c>
      <c r="BD24" s="8">
        <v>196.947</v>
      </c>
      <c r="BE24" s="8">
        <v>3151</v>
      </c>
      <c r="BF24" s="8">
        <v>5944</v>
      </c>
      <c r="BG24" s="8">
        <v>188.66399999999999</v>
      </c>
      <c r="BH24" s="8">
        <v>7</v>
      </c>
      <c r="BI24" s="8">
        <v>3072.2220000000002</v>
      </c>
      <c r="BJ24" s="8" t="s">
        <v>103</v>
      </c>
      <c r="BK24" s="8">
        <v>3173797</v>
      </c>
      <c r="BL24" s="8">
        <v>3832200</v>
      </c>
      <c r="BM24" s="8">
        <v>120.745</v>
      </c>
      <c r="BN24" s="8">
        <v>923125</v>
      </c>
      <c r="BO24" s="8">
        <v>1125784</v>
      </c>
      <c r="BP24" s="8">
        <v>121.953</v>
      </c>
      <c r="BQ24" s="8">
        <v>6</v>
      </c>
      <c r="BR24" s="8">
        <v>1725.694</v>
      </c>
      <c r="BS24" s="8" t="s">
        <v>103</v>
      </c>
      <c r="BT24" s="8">
        <v>1201093</v>
      </c>
      <c r="BU24" s="8">
        <v>908266</v>
      </c>
      <c r="BV24" s="8">
        <v>75.62</v>
      </c>
      <c r="BW24" s="8">
        <v>0</v>
      </c>
      <c r="BX24" s="8">
        <v>1311187</v>
      </c>
      <c r="BY24" s="8">
        <v>1012094</v>
      </c>
      <c r="BZ24" s="8">
        <v>77.188999999999993</v>
      </c>
      <c r="CA24" s="8">
        <v>1012094</v>
      </c>
      <c r="CB24" s="8">
        <v>77.188999999999993</v>
      </c>
      <c r="CC24" s="8">
        <v>2</v>
      </c>
      <c r="CD24" s="8">
        <v>0</v>
      </c>
      <c r="CE24" s="8" t="s">
        <v>215</v>
      </c>
      <c r="CF24" s="8">
        <v>202927</v>
      </c>
      <c r="CG24" s="8">
        <v>107496</v>
      </c>
      <c r="CH24" s="8">
        <v>52.972999999999999</v>
      </c>
      <c r="CI24" s="8">
        <v>74447</v>
      </c>
      <c r="CJ24" s="8">
        <v>22226</v>
      </c>
      <c r="CK24" s="8">
        <v>29.853999999999999</v>
      </c>
      <c r="CL24" s="8">
        <v>2</v>
      </c>
      <c r="CM24" s="8">
        <v>0</v>
      </c>
      <c r="CN24" s="8" t="s">
        <v>124</v>
      </c>
      <c r="CO24" s="8">
        <v>30063.973999999998</v>
      </c>
      <c r="CQ24">
        <f>SUMIFS([1]Working!$DC:$DC,[1]Working!$E:$E,H24)</f>
        <v>30063.974229166797</v>
      </c>
      <c r="CR24">
        <f t="shared" si="0"/>
        <v>-2.2916679881745949E-4</v>
      </c>
    </row>
    <row r="25" spans="1:96" x14ac:dyDescent="0.35">
      <c r="A25" s="9" t="s">
        <v>93</v>
      </c>
      <c r="B25" s="9" t="s">
        <v>94</v>
      </c>
      <c r="C25" s="9">
        <v>92</v>
      </c>
      <c r="D25" s="9" t="s">
        <v>95</v>
      </c>
      <c r="E25" s="9" t="s">
        <v>212</v>
      </c>
      <c r="F25" s="9" t="s">
        <v>96</v>
      </c>
      <c r="G25" s="9" t="s">
        <v>216</v>
      </c>
      <c r="H25" s="9" t="s">
        <v>217</v>
      </c>
      <c r="I25" s="9" t="s">
        <v>218</v>
      </c>
      <c r="J25" s="9" t="s">
        <v>121</v>
      </c>
      <c r="K25" s="10">
        <v>45754</v>
      </c>
      <c r="L25" s="9" t="s">
        <v>100</v>
      </c>
      <c r="M25" s="9" t="s">
        <v>219</v>
      </c>
      <c r="N25" s="9"/>
      <c r="O25" s="9">
        <v>1</v>
      </c>
      <c r="P25" s="11" t="s">
        <v>101</v>
      </c>
      <c r="Q25" s="11" t="s">
        <v>102</v>
      </c>
      <c r="R25" s="11">
        <v>492210</v>
      </c>
      <c r="S25" s="11">
        <v>742488</v>
      </c>
      <c r="T25" s="11">
        <v>150.84800000000001</v>
      </c>
      <c r="U25" s="11">
        <v>249851</v>
      </c>
      <c r="V25" s="11">
        <v>50.761000000000003</v>
      </c>
      <c r="W25" s="11">
        <v>292458</v>
      </c>
      <c r="X25" s="11">
        <v>30013</v>
      </c>
      <c r="Y25" s="11">
        <v>25664</v>
      </c>
      <c r="Z25" s="11">
        <v>59.417000000000002</v>
      </c>
      <c r="AA25" s="11">
        <v>106856</v>
      </c>
      <c r="AB25" s="11">
        <v>377810</v>
      </c>
      <c r="AC25" s="11">
        <v>353.56900000000002</v>
      </c>
      <c r="AD25" s="11">
        <v>24380</v>
      </c>
      <c r="AE25" s="11">
        <v>16650</v>
      </c>
      <c r="AF25" s="11">
        <v>68.293000000000006</v>
      </c>
      <c r="AG25" s="11">
        <v>727481</v>
      </c>
      <c r="AH25" s="11">
        <v>0</v>
      </c>
      <c r="AI25" s="11">
        <v>3.456</v>
      </c>
      <c r="AJ25" s="11">
        <v>4.0419999999999998</v>
      </c>
      <c r="AK25" s="11">
        <v>15007</v>
      </c>
      <c r="AL25" s="11">
        <v>1</v>
      </c>
      <c r="AM25" s="11">
        <v>580840</v>
      </c>
      <c r="AN25" s="11">
        <v>599858</v>
      </c>
      <c r="AO25" s="11">
        <v>103.274</v>
      </c>
      <c r="AP25" s="11">
        <v>90</v>
      </c>
      <c r="AQ25" s="11">
        <v>4</v>
      </c>
      <c r="AR25" s="11">
        <v>0.9</v>
      </c>
      <c r="AS25" s="11">
        <v>1</v>
      </c>
      <c r="AT25" s="11">
        <v>516821</v>
      </c>
      <c r="AU25" s="11">
        <v>105</v>
      </c>
      <c r="AV25" s="11">
        <v>0</v>
      </c>
      <c r="AW25" s="11" t="s">
        <v>135</v>
      </c>
      <c r="AX25" s="11">
        <v>1500</v>
      </c>
      <c r="AY25" s="11" t="s">
        <v>103</v>
      </c>
      <c r="AZ25" s="11">
        <v>11960.705</v>
      </c>
      <c r="BA25" s="11" t="s">
        <v>103</v>
      </c>
      <c r="BB25" s="11">
        <v>28242</v>
      </c>
      <c r="BC25" s="11">
        <v>114910</v>
      </c>
      <c r="BD25" s="11">
        <v>406.87599999999998</v>
      </c>
      <c r="BE25" s="11">
        <v>207</v>
      </c>
      <c r="BF25" s="11">
        <v>805</v>
      </c>
      <c r="BG25" s="11">
        <v>387.92200000000003</v>
      </c>
      <c r="BH25" s="11">
        <v>1</v>
      </c>
      <c r="BI25" s="11">
        <v>2000</v>
      </c>
      <c r="BJ25" s="11" t="s">
        <v>103</v>
      </c>
      <c r="BK25" s="11">
        <v>343239</v>
      </c>
      <c r="BL25" s="11">
        <v>603538</v>
      </c>
      <c r="BM25" s="11">
        <v>175.83600000000001</v>
      </c>
      <c r="BN25" s="11">
        <v>49768</v>
      </c>
      <c r="BO25" s="11">
        <v>3864</v>
      </c>
      <c r="BP25" s="11">
        <v>7.7649999999999997</v>
      </c>
      <c r="BQ25" s="11">
        <v>0</v>
      </c>
      <c r="BR25" s="11">
        <v>0</v>
      </c>
      <c r="BS25" s="11" t="s">
        <v>197</v>
      </c>
      <c r="BT25" s="11">
        <v>126253</v>
      </c>
      <c r="BU25" s="11">
        <v>72465</v>
      </c>
      <c r="BV25" s="11">
        <v>57.396999999999998</v>
      </c>
      <c r="BW25" s="11">
        <v>0</v>
      </c>
      <c r="BX25" s="11">
        <v>140733</v>
      </c>
      <c r="BY25" s="11">
        <v>72400</v>
      </c>
      <c r="BZ25" s="11">
        <v>51.445</v>
      </c>
      <c r="CA25" s="11">
        <v>72400</v>
      </c>
      <c r="CB25" s="11">
        <v>51.445</v>
      </c>
      <c r="CC25" s="11">
        <v>0</v>
      </c>
      <c r="CD25" s="11">
        <v>0</v>
      </c>
      <c r="CE25" s="11" t="s">
        <v>140</v>
      </c>
      <c r="CF25" s="11">
        <v>17641</v>
      </c>
      <c r="CG25" s="11">
        <v>34554</v>
      </c>
      <c r="CH25" s="11">
        <v>195.876</v>
      </c>
      <c r="CI25" s="11">
        <v>8272</v>
      </c>
      <c r="CJ25" s="11">
        <v>2975</v>
      </c>
      <c r="CK25" s="11">
        <v>35.963000000000001</v>
      </c>
      <c r="CL25" s="11">
        <v>1</v>
      </c>
      <c r="CM25" s="11">
        <v>0</v>
      </c>
      <c r="CN25" s="11" t="s">
        <v>153</v>
      </c>
      <c r="CO25" s="11">
        <v>15460.705</v>
      </c>
      <c r="CQ25">
        <f>SUMIFS([1]Working!$DC:$DC,[1]Working!$E:$E,H25)</f>
        <v>15460.704844127005</v>
      </c>
      <c r="CR25">
        <f t="shared" si="0"/>
        <v>1.5587299458275083E-4</v>
      </c>
    </row>
    <row r="26" spans="1:96" x14ac:dyDescent="0.35">
      <c r="A26" s="9" t="s">
        <v>93</v>
      </c>
      <c r="B26" s="9" t="s">
        <v>94</v>
      </c>
      <c r="C26" s="9">
        <v>92</v>
      </c>
      <c r="D26" s="9" t="s">
        <v>95</v>
      </c>
      <c r="E26" s="9" t="s">
        <v>212</v>
      </c>
      <c r="F26" s="9" t="s">
        <v>96</v>
      </c>
      <c r="G26" s="9" t="s">
        <v>220</v>
      </c>
      <c r="H26" s="9" t="s">
        <v>221</v>
      </c>
      <c r="I26" s="9" t="s">
        <v>222</v>
      </c>
      <c r="J26" s="9" t="s">
        <v>121</v>
      </c>
      <c r="K26" s="10">
        <v>44810</v>
      </c>
      <c r="L26" s="9" t="s">
        <v>100</v>
      </c>
      <c r="M26" s="9" t="s">
        <v>223</v>
      </c>
      <c r="N26" s="9"/>
      <c r="O26" s="9">
        <v>1</v>
      </c>
      <c r="P26" s="11" t="s">
        <v>101</v>
      </c>
      <c r="Q26" s="11" t="s">
        <v>102</v>
      </c>
      <c r="R26" s="11">
        <v>518951</v>
      </c>
      <c r="S26" s="11">
        <v>-1760</v>
      </c>
      <c r="T26" s="11">
        <v>-0.33900000000000002</v>
      </c>
      <c r="U26" s="11">
        <v>84018</v>
      </c>
      <c r="V26" s="11">
        <v>16.190000000000001</v>
      </c>
      <c r="W26" s="11">
        <v>-13882</v>
      </c>
      <c r="X26" s="11">
        <v>13882</v>
      </c>
      <c r="Y26" s="11">
        <v>0</v>
      </c>
      <c r="Z26" s="11">
        <v>-2.6749999999999998</v>
      </c>
      <c r="AA26" s="11">
        <v>15283</v>
      </c>
      <c r="AB26" s="11">
        <v>0</v>
      </c>
      <c r="AC26" s="11">
        <v>0</v>
      </c>
      <c r="AD26" s="11">
        <v>401</v>
      </c>
      <c r="AE26" s="11">
        <v>-49</v>
      </c>
      <c r="AF26" s="11">
        <v>-12.185</v>
      </c>
      <c r="AG26" s="11">
        <v>-1760</v>
      </c>
      <c r="AH26" s="11">
        <v>0</v>
      </c>
      <c r="AI26" s="11">
        <v>0</v>
      </c>
      <c r="AJ26" s="11">
        <v>-788.79</v>
      </c>
      <c r="AK26" s="11">
        <v>0</v>
      </c>
      <c r="AL26" s="11">
        <v>0</v>
      </c>
      <c r="AM26" s="11">
        <v>526779</v>
      </c>
      <c r="AN26" s="11">
        <v>576269</v>
      </c>
      <c r="AO26" s="11">
        <v>109.395</v>
      </c>
      <c r="AP26" s="11">
        <v>25</v>
      </c>
      <c r="AQ26" s="11">
        <v>7</v>
      </c>
      <c r="AR26" s="11">
        <v>1</v>
      </c>
      <c r="AS26" s="11">
        <v>0.9</v>
      </c>
      <c r="AT26" s="11">
        <v>-1760</v>
      </c>
      <c r="AU26" s="11">
        <v>-0.33900000000000002</v>
      </c>
      <c r="AV26" s="11">
        <v>0</v>
      </c>
      <c r="AW26" s="11" t="s">
        <v>113</v>
      </c>
      <c r="AX26" s="11">
        <v>0</v>
      </c>
      <c r="AY26" s="11" t="s">
        <v>158</v>
      </c>
      <c r="AZ26" s="11">
        <v>0</v>
      </c>
      <c r="BA26" s="11" t="s">
        <v>159</v>
      </c>
      <c r="BB26" s="11">
        <v>19176</v>
      </c>
      <c r="BC26" s="11">
        <v>-259</v>
      </c>
      <c r="BD26" s="11">
        <v>-1.351</v>
      </c>
      <c r="BE26" s="11">
        <v>141</v>
      </c>
      <c r="BF26" s="11">
        <v>-2</v>
      </c>
      <c r="BG26" s="11">
        <v>-1.415</v>
      </c>
      <c r="BH26" s="11">
        <v>0</v>
      </c>
      <c r="BI26" s="11">
        <v>0</v>
      </c>
      <c r="BJ26" s="11" t="s">
        <v>160</v>
      </c>
      <c r="BK26" s="11">
        <v>291813</v>
      </c>
      <c r="BL26" s="11">
        <v>-7463</v>
      </c>
      <c r="BM26" s="11">
        <v>-2.5579999999999998</v>
      </c>
      <c r="BN26" s="11">
        <v>30960</v>
      </c>
      <c r="BO26" s="11">
        <v>-6443</v>
      </c>
      <c r="BP26" s="11">
        <v>-20.81</v>
      </c>
      <c r="BQ26" s="11">
        <v>0</v>
      </c>
      <c r="BR26" s="11">
        <v>0</v>
      </c>
      <c r="BS26" s="11" t="s">
        <v>115</v>
      </c>
      <c r="BT26" s="11">
        <v>196300</v>
      </c>
      <c r="BU26" s="11">
        <v>-762</v>
      </c>
      <c r="BV26" s="11">
        <v>-0.38800000000000001</v>
      </c>
      <c r="BW26" s="11">
        <v>0</v>
      </c>
      <c r="BX26" s="11">
        <v>201666</v>
      </c>
      <c r="BY26" s="11">
        <v>-762</v>
      </c>
      <c r="BZ26" s="11">
        <v>-0.378</v>
      </c>
      <c r="CA26" s="11">
        <v>-762</v>
      </c>
      <c r="CB26" s="11">
        <v>-0.378</v>
      </c>
      <c r="CC26" s="11">
        <v>0</v>
      </c>
      <c r="CD26" s="11">
        <v>0</v>
      </c>
      <c r="CE26" s="11" t="s">
        <v>161</v>
      </c>
      <c r="CF26" s="11">
        <v>24727</v>
      </c>
      <c r="CG26" s="11">
        <v>0</v>
      </c>
      <c r="CH26" s="11">
        <v>0</v>
      </c>
      <c r="CI26" s="11">
        <v>8272</v>
      </c>
      <c r="CJ26" s="11">
        <v>0</v>
      </c>
      <c r="CK26" s="11">
        <v>0</v>
      </c>
      <c r="CL26" s="11">
        <v>0</v>
      </c>
      <c r="CM26" s="11">
        <v>0</v>
      </c>
      <c r="CN26" s="11" t="s">
        <v>117</v>
      </c>
      <c r="CO26" s="11">
        <v>0</v>
      </c>
      <c r="CQ26">
        <f>SUMIFS([1]Working!$DC:$DC,[1]Working!$E:$E,H26)</f>
        <v>0</v>
      </c>
      <c r="CR26">
        <f t="shared" si="0"/>
        <v>0</v>
      </c>
    </row>
    <row r="27" spans="1:96" x14ac:dyDescent="0.35">
      <c r="A27" s="9" t="s">
        <v>93</v>
      </c>
      <c r="B27" s="9" t="s">
        <v>94</v>
      </c>
      <c r="C27" s="9">
        <v>92</v>
      </c>
      <c r="D27" s="9" t="s">
        <v>95</v>
      </c>
      <c r="E27" s="9" t="s">
        <v>212</v>
      </c>
      <c r="F27" s="9" t="s">
        <v>96</v>
      </c>
      <c r="G27" s="9" t="s">
        <v>224</v>
      </c>
      <c r="H27" s="9" t="s">
        <v>225</v>
      </c>
      <c r="I27" s="9" t="s">
        <v>226</v>
      </c>
      <c r="J27" s="9" t="s">
        <v>121</v>
      </c>
      <c r="K27" s="10">
        <v>45049</v>
      </c>
      <c r="L27" s="9" t="s">
        <v>100</v>
      </c>
      <c r="M27" s="9" t="s">
        <v>227</v>
      </c>
      <c r="N27" s="9"/>
      <c r="O27" s="9">
        <v>1</v>
      </c>
      <c r="P27" s="11" t="s">
        <v>101</v>
      </c>
      <c r="Q27" s="11" t="s">
        <v>102</v>
      </c>
      <c r="R27" s="11">
        <v>416322</v>
      </c>
      <c r="S27" s="11">
        <v>508916</v>
      </c>
      <c r="T27" s="11">
        <v>122.241</v>
      </c>
      <c r="U27" s="11">
        <v>535974</v>
      </c>
      <c r="V27" s="11">
        <v>128.74</v>
      </c>
      <c r="W27" s="11">
        <v>0</v>
      </c>
      <c r="X27" s="11">
        <v>0</v>
      </c>
      <c r="Y27" s="11">
        <v>0</v>
      </c>
      <c r="Z27" s="11">
        <v>0</v>
      </c>
      <c r="AA27" s="11">
        <v>36216</v>
      </c>
      <c r="AB27" s="11">
        <v>188905</v>
      </c>
      <c r="AC27" s="11">
        <v>521.60599999999999</v>
      </c>
      <c r="AD27" s="11">
        <v>2444</v>
      </c>
      <c r="AE27" s="11">
        <v>11100</v>
      </c>
      <c r="AF27" s="11">
        <v>454.14699999999999</v>
      </c>
      <c r="AG27" s="11">
        <v>508916</v>
      </c>
      <c r="AH27" s="11">
        <v>0</v>
      </c>
      <c r="AI27" s="11">
        <v>0</v>
      </c>
      <c r="AJ27" s="11">
        <v>0</v>
      </c>
      <c r="AK27" s="11">
        <v>0</v>
      </c>
      <c r="AL27" s="11">
        <v>1</v>
      </c>
      <c r="AM27" s="11">
        <v>427087</v>
      </c>
      <c r="AN27" s="11">
        <v>15441</v>
      </c>
      <c r="AO27" s="11">
        <v>3.6150000000000002</v>
      </c>
      <c r="AP27" s="11">
        <v>61</v>
      </c>
      <c r="AQ27" s="11">
        <v>6</v>
      </c>
      <c r="AR27" s="11">
        <v>0.9</v>
      </c>
      <c r="AS27" s="11">
        <v>0.9</v>
      </c>
      <c r="AT27" s="11">
        <v>437138</v>
      </c>
      <c r="AU27" s="11">
        <v>105</v>
      </c>
      <c r="AV27" s="11">
        <v>0</v>
      </c>
      <c r="AW27" s="11" t="s">
        <v>228</v>
      </c>
      <c r="AX27" s="11">
        <v>0</v>
      </c>
      <c r="AY27" s="11" t="s">
        <v>130</v>
      </c>
      <c r="AZ27" s="11">
        <v>0</v>
      </c>
      <c r="BA27" s="11" t="s">
        <v>123</v>
      </c>
      <c r="BB27" s="11">
        <v>24002</v>
      </c>
      <c r="BC27" s="11">
        <v>54039</v>
      </c>
      <c r="BD27" s="11">
        <v>225.14500000000001</v>
      </c>
      <c r="BE27" s="11">
        <v>176</v>
      </c>
      <c r="BF27" s="11">
        <v>382</v>
      </c>
      <c r="BG27" s="11">
        <v>216.97300000000001</v>
      </c>
      <c r="BH27" s="11">
        <v>1</v>
      </c>
      <c r="BI27" s="11">
        <v>1800</v>
      </c>
      <c r="BJ27" s="11" t="s">
        <v>103</v>
      </c>
      <c r="BK27" s="11">
        <v>294088</v>
      </c>
      <c r="BL27" s="11">
        <v>439100</v>
      </c>
      <c r="BM27" s="11">
        <v>149.309</v>
      </c>
      <c r="BN27" s="11">
        <v>50313</v>
      </c>
      <c r="BO27" s="11">
        <v>69656</v>
      </c>
      <c r="BP27" s="11">
        <v>138.44499999999999</v>
      </c>
      <c r="BQ27" s="11">
        <v>1</v>
      </c>
      <c r="BR27" s="11">
        <v>1125</v>
      </c>
      <c r="BS27" s="11" t="s">
        <v>103</v>
      </c>
      <c r="BT27" s="11">
        <v>155956</v>
      </c>
      <c r="BU27" s="11">
        <v>122120</v>
      </c>
      <c r="BV27" s="11">
        <v>78.304000000000002</v>
      </c>
      <c r="BW27" s="11">
        <v>0</v>
      </c>
      <c r="BX27" s="11">
        <v>158754</v>
      </c>
      <c r="BY27" s="11">
        <v>126500</v>
      </c>
      <c r="BZ27" s="11">
        <v>79.683000000000007</v>
      </c>
      <c r="CA27" s="11">
        <v>126500</v>
      </c>
      <c r="CB27" s="11">
        <v>79.683000000000007</v>
      </c>
      <c r="CC27" s="11">
        <v>0</v>
      </c>
      <c r="CD27" s="11">
        <v>0</v>
      </c>
      <c r="CE27" s="11" t="s">
        <v>140</v>
      </c>
      <c r="CF27" s="11">
        <v>24803</v>
      </c>
      <c r="CG27" s="11">
        <v>0</v>
      </c>
      <c r="CH27" s="11">
        <v>0</v>
      </c>
      <c r="CI27" s="11">
        <v>8272</v>
      </c>
      <c r="CJ27" s="11">
        <v>0</v>
      </c>
      <c r="CK27" s="11">
        <v>0</v>
      </c>
      <c r="CL27" s="11">
        <v>0</v>
      </c>
      <c r="CM27" s="11">
        <v>0</v>
      </c>
      <c r="CN27" s="11" t="s">
        <v>124</v>
      </c>
      <c r="CO27" s="11">
        <v>2925</v>
      </c>
      <c r="CQ27">
        <f>SUMIFS([1]Working!$DC:$DC,[1]Working!$E:$E,H27)</f>
        <v>2925</v>
      </c>
      <c r="CR27">
        <f t="shared" si="0"/>
        <v>0</v>
      </c>
    </row>
    <row r="28" spans="1:96" x14ac:dyDescent="0.35">
      <c r="A28" s="9" t="s">
        <v>93</v>
      </c>
      <c r="B28" s="9" t="s">
        <v>94</v>
      </c>
      <c r="C28" s="9">
        <v>92</v>
      </c>
      <c r="D28" s="9" t="s">
        <v>95</v>
      </c>
      <c r="E28" s="9" t="s">
        <v>212</v>
      </c>
      <c r="F28" s="9" t="s">
        <v>96</v>
      </c>
      <c r="G28" s="9" t="s">
        <v>229</v>
      </c>
      <c r="H28" s="9" t="s">
        <v>230</v>
      </c>
      <c r="I28" s="9" t="s">
        <v>231</v>
      </c>
      <c r="J28" s="9" t="s">
        <v>121</v>
      </c>
      <c r="K28" s="10">
        <v>43742</v>
      </c>
      <c r="L28" s="9" t="s">
        <v>100</v>
      </c>
      <c r="M28" s="9" t="s">
        <v>232</v>
      </c>
      <c r="N28" s="9"/>
      <c r="O28" s="9">
        <v>1</v>
      </c>
      <c r="P28" s="11" t="s">
        <v>101</v>
      </c>
      <c r="Q28" s="11" t="s">
        <v>102</v>
      </c>
      <c r="R28" s="11">
        <v>543214</v>
      </c>
      <c r="S28" s="11">
        <v>593175</v>
      </c>
      <c r="T28" s="11">
        <v>109.197</v>
      </c>
      <c r="U28" s="11">
        <v>762209</v>
      </c>
      <c r="V28" s="11">
        <v>140.31399999999999</v>
      </c>
      <c r="W28" s="11">
        <v>0</v>
      </c>
      <c r="X28" s="11">
        <v>0</v>
      </c>
      <c r="Y28" s="11">
        <v>0</v>
      </c>
      <c r="Z28" s="11">
        <v>0</v>
      </c>
      <c r="AA28" s="11">
        <v>32356</v>
      </c>
      <c r="AB28" s="11">
        <v>99175</v>
      </c>
      <c r="AC28" s="11">
        <v>306.51600000000002</v>
      </c>
      <c r="AD28" s="11">
        <v>31101</v>
      </c>
      <c r="AE28" s="11">
        <v>27750</v>
      </c>
      <c r="AF28" s="11">
        <v>89.225999999999999</v>
      </c>
      <c r="AG28" s="11">
        <v>453390</v>
      </c>
      <c r="AH28" s="11">
        <v>0</v>
      </c>
      <c r="AI28" s="11">
        <v>0</v>
      </c>
      <c r="AJ28" s="11">
        <v>0</v>
      </c>
      <c r="AK28" s="11">
        <v>0</v>
      </c>
      <c r="AL28" s="11">
        <v>0</v>
      </c>
      <c r="AM28" s="11">
        <v>556954</v>
      </c>
      <c r="AN28" s="11">
        <v>663114</v>
      </c>
      <c r="AO28" s="11">
        <v>119.06100000000001</v>
      </c>
      <c r="AP28" s="11">
        <v>100</v>
      </c>
      <c r="AQ28" s="11">
        <v>7</v>
      </c>
      <c r="AR28" s="11">
        <v>1</v>
      </c>
      <c r="AS28" s="11">
        <v>1</v>
      </c>
      <c r="AT28" s="11">
        <v>453390</v>
      </c>
      <c r="AU28" s="11">
        <v>83.463999999999999</v>
      </c>
      <c r="AV28" s="11">
        <v>0</v>
      </c>
      <c r="AW28" s="11" t="s">
        <v>113</v>
      </c>
      <c r="AX28" s="11">
        <v>0</v>
      </c>
      <c r="AY28" s="11" t="s">
        <v>158</v>
      </c>
      <c r="AZ28" s="11">
        <v>0</v>
      </c>
      <c r="BA28" s="11" t="s">
        <v>123</v>
      </c>
      <c r="BB28" s="11">
        <v>39646</v>
      </c>
      <c r="BC28" s="11">
        <v>0</v>
      </c>
      <c r="BD28" s="11">
        <v>0</v>
      </c>
      <c r="BE28" s="11">
        <v>294</v>
      </c>
      <c r="BF28" s="11">
        <v>0</v>
      </c>
      <c r="BG28" s="11">
        <v>0</v>
      </c>
      <c r="BH28" s="11">
        <v>0</v>
      </c>
      <c r="BI28" s="11">
        <v>0</v>
      </c>
      <c r="BJ28" s="11" t="s">
        <v>160</v>
      </c>
      <c r="BK28" s="11">
        <v>330200</v>
      </c>
      <c r="BL28" s="11">
        <v>400779</v>
      </c>
      <c r="BM28" s="11">
        <v>121.375</v>
      </c>
      <c r="BN28" s="11">
        <v>90888</v>
      </c>
      <c r="BO28" s="11">
        <v>148301</v>
      </c>
      <c r="BP28" s="11">
        <v>163.16900000000001</v>
      </c>
      <c r="BQ28" s="11">
        <v>1</v>
      </c>
      <c r="BR28" s="11">
        <v>0</v>
      </c>
      <c r="BS28" s="11" t="s">
        <v>114</v>
      </c>
      <c r="BT28" s="11">
        <v>139367</v>
      </c>
      <c r="BU28" s="11">
        <v>293088</v>
      </c>
      <c r="BV28" s="11">
        <v>210.3</v>
      </c>
      <c r="BW28" s="11">
        <v>139785</v>
      </c>
      <c r="BX28" s="11">
        <v>149460</v>
      </c>
      <c r="BY28" s="11">
        <v>293088</v>
      </c>
      <c r="BZ28" s="11">
        <v>196.09800000000001</v>
      </c>
      <c r="CA28" s="11">
        <v>153303</v>
      </c>
      <c r="CB28" s="11">
        <v>102.572</v>
      </c>
      <c r="CC28" s="11">
        <v>1</v>
      </c>
      <c r="CD28" s="11">
        <v>0</v>
      </c>
      <c r="CE28" s="11" t="s">
        <v>114</v>
      </c>
      <c r="CF28" s="11">
        <v>17851</v>
      </c>
      <c r="CG28" s="11">
        <v>0</v>
      </c>
      <c r="CH28" s="11">
        <v>0</v>
      </c>
      <c r="CI28" s="11">
        <v>8272</v>
      </c>
      <c r="CJ28" s="11">
        <v>0</v>
      </c>
      <c r="CK28" s="11">
        <v>0</v>
      </c>
      <c r="CL28" s="11">
        <v>0</v>
      </c>
      <c r="CM28" s="11">
        <v>0</v>
      </c>
      <c r="CN28" s="11" t="s">
        <v>117</v>
      </c>
      <c r="CO28" s="11">
        <v>0</v>
      </c>
      <c r="CQ28">
        <f>SUMIFS([1]Working!$DC:$DC,[1]Working!$E:$E,H28)</f>
        <v>0</v>
      </c>
      <c r="CR28">
        <f t="shared" si="0"/>
        <v>0</v>
      </c>
    </row>
    <row r="29" spans="1:96" x14ac:dyDescent="0.35">
      <c r="A29" s="9" t="s">
        <v>93</v>
      </c>
      <c r="B29" s="9" t="s">
        <v>94</v>
      </c>
      <c r="C29" s="9">
        <v>92</v>
      </c>
      <c r="D29" s="9" t="s">
        <v>95</v>
      </c>
      <c r="E29" s="9" t="s">
        <v>212</v>
      </c>
      <c r="F29" s="9" t="s">
        <v>96</v>
      </c>
      <c r="G29" s="9" t="s">
        <v>233</v>
      </c>
      <c r="H29" s="9" t="s">
        <v>234</v>
      </c>
      <c r="I29" s="9" t="s">
        <v>235</v>
      </c>
      <c r="J29" s="9" t="s">
        <v>121</v>
      </c>
      <c r="K29" s="10">
        <v>44440</v>
      </c>
      <c r="L29" s="9" t="s">
        <v>100</v>
      </c>
      <c r="M29" s="9" t="s">
        <v>236</v>
      </c>
      <c r="N29" s="9"/>
      <c r="O29" s="9">
        <v>1</v>
      </c>
      <c r="P29" s="11" t="s">
        <v>101</v>
      </c>
      <c r="Q29" s="11" t="s">
        <v>102</v>
      </c>
      <c r="R29" s="11">
        <v>401678</v>
      </c>
      <c r="S29" s="11">
        <v>417565</v>
      </c>
      <c r="T29" s="11">
        <v>103.955</v>
      </c>
      <c r="U29" s="11">
        <v>416315</v>
      </c>
      <c r="V29" s="11">
        <v>103.64400000000001</v>
      </c>
      <c r="W29" s="11">
        <v>271248</v>
      </c>
      <c r="X29" s="11">
        <v>0</v>
      </c>
      <c r="Y29" s="11">
        <v>0</v>
      </c>
      <c r="Z29" s="11">
        <v>67.528999999999996</v>
      </c>
      <c r="AA29" s="11">
        <v>23566</v>
      </c>
      <c r="AB29" s="11">
        <v>0</v>
      </c>
      <c r="AC29" s="11">
        <v>0</v>
      </c>
      <c r="AD29" s="11">
        <v>12105</v>
      </c>
      <c r="AE29" s="11">
        <v>16650</v>
      </c>
      <c r="AF29" s="11">
        <v>137.54499999999999</v>
      </c>
      <c r="AG29" s="11">
        <v>413020</v>
      </c>
      <c r="AH29" s="11">
        <v>4545</v>
      </c>
      <c r="AI29" s="11">
        <v>0</v>
      </c>
      <c r="AJ29" s="11">
        <v>0</v>
      </c>
      <c r="AK29" s="11">
        <v>0</v>
      </c>
      <c r="AL29" s="11">
        <v>1</v>
      </c>
      <c r="AM29" s="11">
        <v>451592</v>
      </c>
      <c r="AN29" s="11">
        <v>473518</v>
      </c>
      <c r="AO29" s="11">
        <v>104.855</v>
      </c>
      <c r="AP29" s="11">
        <v>100</v>
      </c>
      <c r="AQ29" s="11">
        <v>10</v>
      </c>
      <c r="AR29" s="11">
        <v>1</v>
      </c>
      <c r="AS29" s="11">
        <v>1</v>
      </c>
      <c r="AT29" s="11">
        <v>413020</v>
      </c>
      <c r="AU29" s="11">
        <v>102.824</v>
      </c>
      <c r="AV29" s="11">
        <v>11358.047</v>
      </c>
      <c r="AW29" s="11" t="s">
        <v>103</v>
      </c>
      <c r="AX29" s="11">
        <v>1500</v>
      </c>
      <c r="AY29" s="11" t="s">
        <v>103</v>
      </c>
      <c r="AZ29" s="11">
        <v>0</v>
      </c>
      <c r="BA29" s="11" t="s">
        <v>123</v>
      </c>
      <c r="BB29" s="11">
        <v>61008</v>
      </c>
      <c r="BC29" s="11">
        <v>195428</v>
      </c>
      <c r="BD29" s="11">
        <v>320.33300000000003</v>
      </c>
      <c r="BE29" s="11">
        <v>448</v>
      </c>
      <c r="BF29" s="11">
        <v>1384</v>
      </c>
      <c r="BG29" s="11">
        <v>309.03899999999999</v>
      </c>
      <c r="BH29" s="11">
        <v>1</v>
      </c>
      <c r="BI29" s="11">
        <v>2000</v>
      </c>
      <c r="BJ29" s="11" t="s">
        <v>103</v>
      </c>
      <c r="BK29" s="11">
        <v>310865</v>
      </c>
      <c r="BL29" s="11">
        <v>265814</v>
      </c>
      <c r="BM29" s="11">
        <v>85.507999999999996</v>
      </c>
      <c r="BN29" s="11">
        <v>141149</v>
      </c>
      <c r="BO29" s="11">
        <v>47662</v>
      </c>
      <c r="BP29" s="11">
        <v>33.768000000000001</v>
      </c>
      <c r="BQ29" s="11">
        <v>0</v>
      </c>
      <c r="BR29" s="11">
        <v>0</v>
      </c>
      <c r="BS29" s="11" t="s">
        <v>197</v>
      </c>
      <c r="BT29" s="11">
        <v>59349</v>
      </c>
      <c r="BU29" s="11">
        <v>14654</v>
      </c>
      <c r="BV29" s="11">
        <v>24.692</v>
      </c>
      <c r="BW29" s="11">
        <v>0</v>
      </c>
      <c r="BX29" s="11">
        <v>65528</v>
      </c>
      <c r="BY29" s="11">
        <v>27269</v>
      </c>
      <c r="BZ29" s="11">
        <v>41.613999999999997</v>
      </c>
      <c r="CA29" s="11">
        <v>27269</v>
      </c>
      <c r="CB29" s="11">
        <v>41.613999999999997</v>
      </c>
      <c r="CC29" s="11">
        <v>0</v>
      </c>
      <c r="CD29" s="11">
        <v>0</v>
      </c>
      <c r="CE29" s="11" t="s">
        <v>140</v>
      </c>
      <c r="CF29" s="11">
        <v>19615</v>
      </c>
      <c r="CG29" s="11">
        <v>0</v>
      </c>
      <c r="CH29" s="11">
        <v>0</v>
      </c>
      <c r="CI29" s="11">
        <v>8272</v>
      </c>
      <c r="CJ29" s="11">
        <v>0</v>
      </c>
      <c r="CK29" s="11">
        <v>0</v>
      </c>
      <c r="CL29" s="11">
        <v>0</v>
      </c>
      <c r="CM29" s="11">
        <v>0</v>
      </c>
      <c r="CN29" s="11" t="s">
        <v>124</v>
      </c>
      <c r="CO29" s="11">
        <v>14858.047</v>
      </c>
      <c r="CQ29">
        <f>SUMIFS([1]Working!$DC:$DC,[1]Working!$E:$E,H29)</f>
        <v>14858.047276125002</v>
      </c>
      <c r="CR29">
        <f t="shared" si="0"/>
        <v>-2.7612500161922071E-4</v>
      </c>
    </row>
    <row r="30" spans="1:96" x14ac:dyDescent="0.35">
      <c r="A30" s="9" t="s">
        <v>93</v>
      </c>
      <c r="B30" s="9" t="s">
        <v>94</v>
      </c>
      <c r="C30" s="9">
        <v>92</v>
      </c>
      <c r="D30" s="9" t="s">
        <v>95</v>
      </c>
      <c r="E30" s="9" t="s">
        <v>212</v>
      </c>
      <c r="F30" s="9" t="s">
        <v>96</v>
      </c>
      <c r="G30" s="9" t="s">
        <v>237</v>
      </c>
      <c r="H30" s="9" t="s">
        <v>238</v>
      </c>
      <c r="I30" s="9" t="s">
        <v>239</v>
      </c>
      <c r="J30" s="9" t="s">
        <v>121</v>
      </c>
      <c r="K30" s="10">
        <v>44971</v>
      </c>
      <c r="L30" s="9" t="s">
        <v>100</v>
      </c>
      <c r="M30" s="9" t="s">
        <v>240</v>
      </c>
      <c r="N30" s="9"/>
      <c r="O30" s="9">
        <v>1</v>
      </c>
      <c r="P30" s="11" t="s">
        <v>101</v>
      </c>
      <c r="Q30" s="11" t="s">
        <v>102</v>
      </c>
      <c r="R30" s="11">
        <v>451153</v>
      </c>
      <c r="S30" s="11">
        <v>481612</v>
      </c>
      <c r="T30" s="11">
        <v>106.751</v>
      </c>
      <c r="U30" s="11">
        <v>617066</v>
      </c>
      <c r="V30" s="11">
        <v>136.77500000000001</v>
      </c>
      <c r="W30" s="11">
        <v>393977</v>
      </c>
      <c r="X30" s="11">
        <v>740</v>
      </c>
      <c r="Y30" s="11">
        <v>0</v>
      </c>
      <c r="Z30" s="11">
        <v>87.326999999999998</v>
      </c>
      <c r="AA30" s="11">
        <v>17711</v>
      </c>
      <c r="AB30" s="11">
        <v>25181</v>
      </c>
      <c r="AC30" s="11">
        <v>142.17699999999999</v>
      </c>
      <c r="AD30" s="11">
        <v>10983</v>
      </c>
      <c r="AE30" s="11">
        <v>0</v>
      </c>
      <c r="AF30" s="11">
        <v>0</v>
      </c>
      <c r="AG30" s="11">
        <v>464679</v>
      </c>
      <c r="AH30" s="11">
        <v>0</v>
      </c>
      <c r="AI30" s="11">
        <v>0</v>
      </c>
      <c r="AJ30" s="11">
        <v>0.159</v>
      </c>
      <c r="AK30" s="11">
        <v>0</v>
      </c>
      <c r="AL30" s="11">
        <v>1</v>
      </c>
      <c r="AM30" s="11">
        <v>480764</v>
      </c>
      <c r="AN30" s="11">
        <v>525102</v>
      </c>
      <c r="AO30" s="11">
        <v>109.22199999999999</v>
      </c>
      <c r="AP30" s="11">
        <v>100</v>
      </c>
      <c r="AQ30" s="11">
        <v>6</v>
      </c>
      <c r="AR30" s="11">
        <v>0.9</v>
      </c>
      <c r="AS30" s="11">
        <v>1</v>
      </c>
      <c r="AT30" s="11">
        <v>464679</v>
      </c>
      <c r="AU30" s="11">
        <v>102.998</v>
      </c>
      <c r="AV30" s="11">
        <v>12778.666999999999</v>
      </c>
      <c r="AW30" s="11" t="s">
        <v>103</v>
      </c>
      <c r="AX30" s="11">
        <v>1500</v>
      </c>
      <c r="AY30" s="11" t="s">
        <v>103</v>
      </c>
      <c r="AZ30" s="11">
        <v>0</v>
      </c>
      <c r="BA30" s="11" t="s">
        <v>123</v>
      </c>
      <c r="BB30" s="11">
        <v>59030</v>
      </c>
      <c r="BC30" s="11">
        <v>123754</v>
      </c>
      <c r="BD30" s="11">
        <v>209.64500000000001</v>
      </c>
      <c r="BE30" s="11">
        <v>435</v>
      </c>
      <c r="BF30" s="11">
        <v>890</v>
      </c>
      <c r="BG30" s="11">
        <v>204.54900000000001</v>
      </c>
      <c r="BH30" s="11">
        <v>1</v>
      </c>
      <c r="BI30" s="11">
        <v>2000</v>
      </c>
      <c r="BJ30" s="11" t="s">
        <v>103</v>
      </c>
      <c r="BK30" s="11">
        <v>348625</v>
      </c>
      <c r="BL30" s="11">
        <v>445900</v>
      </c>
      <c r="BM30" s="11">
        <v>127.902</v>
      </c>
      <c r="BN30" s="11">
        <v>176663</v>
      </c>
      <c r="BO30" s="11">
        <v>179366</v>
      </c>
      <c r="BP30" s="11">
        <v>101.53</v>
      </c>
      <c r="BQ30" s="11">
        <v>1</v>
      </c>
      <c r="BR30" s="11">
        <v>1750</v>
      </c>
      <c r="BS30" s="11" t="s">
        <v>103</v>
      </c>
      <c r="BT30" s="11">
        <v>62319</v>
      </c>
      <c r="BU30" s="11">
        <v>85484</v>
      </c>
      <c r="BV30" s="11">
        <v>137.17099999999999</v>
      </c>
      <c r="BW30" s="11">
        <v>16933</v>
      </c>
      <c r="BX30" s="11">
        <v>71080</v>
      </c>
      <c r="BY30" s="11">
        <v>122276</v>
      </c>
      <c r="BZ30" s="11">
        <v>172.02600000000001</v>
      </c>
      <c r="CA30" s="11">
        <v>105343</v>
      </c>
      <c r="CB30" s="11">
        <v>148.20400000000001</v>
      </c>
      <c r="CC30" s="11">
        <v>1</v>
      </c>
      <c r="CD30" s="11">
        <v>2500</v>
      </c>
      <c r="CE30" s="11" t="s">
        <v>103</v>
      </c>
      <c r="CF30" s="11">
        <v>24142</v>
      </c>
      <c r="CG30" s="11">
        <v>12256</v>
      </c>
      <c r="CH30" s="11">
        <v>50.767000000000003</v>
      </c>
      <c r="CI30" s="11">
        <v>8272</v>
      </c>
      <c r="CJ30" s="11">
        <v>1283</v>
      </c>
      <c r="CK30" s="11">
        <v>15.515000000000001</v>
      </c>
      <c r="CL30" s="11">
        <v>0</v>
      </c>
      <c r="CM30" s="11">
        <v>0</v>
      </c>
      <c r="CN30" s="11" t="s">
        <v>124</v>
      </c>
      <c r="CO30" s="11">
        <v>20528.667000000001</v>
      </c>
      <c r="CQ30">
        <f>SUMIFS([1]Working!$DC:$DC,[1]Working!$E:$E,H30)</f>
        <v>20528.666749365009</v>
      </c>
      <c r="CR30">
        <f t="shared" si="0"/>
        <v>2.5063499197131023E-4</v>
      </c>
    </row>
    <row r="31" spans="1:96" x14ac:dyDescent="0.35">
      <c r="A31" s="9" t="s">
        <v>93</v>
      </c>
      <c r="B31" s="9" t="s">
        <v>94</v>
      </c>
      <c r="C31" s="9">
        <v>92</v>
      </c>
      <c r="D31" s="9" t="s">
        <v>95</v>
      </c>
      <c r="E31" s="9" t="s">
        <v>212</v>
      </c>
      <c r="F31" s="9" t="s">
        <v>96</v>
      </c>
      <c r="G31" s="9" t="s">
        <v>241</v>
      </c>
      <c r="H31" s="9" t="s">
        <v>242</v>
      </c>
      <c r="I31" s="9" t="s">
        <v>243</v>
      </c>
      <c r="J31" s="9" t="s">
        <v>121</v>
      </c>
      <c r="K31" s="10">
        <v>45021</v>
      </c>
      <c r="L31" s="9" t="s">
        <v>100</v>
      </c>
      <c r="M31" s="9" t="s">
        <v>244</v>
      </c>
      <c r="N31" s="9"/>
      <c r="O31" s="9">
        <v>1</v>
      </c>
      <c r="P31" s="11" t="s">
        <v>101</v>
      </c>
      <c r="Q31" s="11" t="s">
        <v>102</v>
      </c>
      <c r="R31" s="11">
        <v>486893</v>
      </c>
      <c r="S31" s="11">
        <v>550430</v>
      </c>
      <c r="T31" s="11">
        <v>113.05</v>
      </c>
      <c r="U31" s="11">
        <v>535098</v>
      </c>
      <c r="V31" s="11">
        <v>109.901</v>
      </c>
      <c r="W31" s="11">
        <v>253950</v>
      </c>
      <c r="X31" s="11">
        <v>0</v>
      </c>
      <c r="Y31" s="11">
        <v>0</v>
      </c>
      <c r="Z31" s="11">
        <v>52.156999999999996</v>
      </c>
      <c r="AA31" s="11">
        <v>8617</v>
      </c>
      <c r="AB31" s="11">
        <v>0</v>
      </c>
      <c r="AC31" s="11">
        <v>0</v>
      </c>
      <c r="AD31" s="11">
        <v>13856</v>
      </c>
      <c r="AE31" s="11">
        <v>0</v>
      </c>
      <c r="AF31" s="11">
        <v>0</v>
      </c>
      <c r="AG31" s="11">
        <v>550430</v>
      </c>
      <c r="AH31" s="11">
        <v>0</v>
      </c>
      <c r="AI31" s="11">
        <v>0</v>
      </c>
      <c r="AJ31" s="11">
        <v>0</v>
      </c>
      <c r="AK31" s="11">
        <v>0</v>
      </c>
      <c r="AL31" s="11">
        <v>1</v>
      </c>
      <c r="AM31" s="11">
        <v>486624</v>
      </c>
      <c r="AN31" s="11">
        <v>503472</v>
      </c>
      <c r="AO31" s="11">
        <v>103.462</v>
      </c>
      <c r="AP31" s="11">
        <v>100</v>
      </c>
      <c r="AQ31" s="11">
        <v>8</v>
      </c>
      <c r="AR31" s="11">
        <v>1</v>
      </c>
      <c r="AS31" s="11">
        <v>1</v>
      </c>
      <c r="AT31" s="11">
        <v>511237</v>
      </c>
      <c r="AU31" s="11">
        <v>105</v>
      </c>
      <c r="AV31" s="11">
        <v>14314.642</v>
      </c>
      <c r="AW31" s="11" t="s">
        <v>103</v>
      </c>
      <c r="AX31" s="11">
        <v>1500</v>
      </c>
      <c r="AY31" s="11" t="s">
        <v>103</v>
      </c>
      <c r="AZ31" s="11">
        <v>0</v>
      </c>
      <c r="BA31" s="11" t="s">
        <v>123</v>
      </c>
      <c r="BB31" s="11">
        <v>66065</v>
      </c>
      <c r="BC31" s="11">
        <v>103954</v>
      </c>
      <c r="BD31" s="11">
        <v>157.35</v>
      </c>
      <c r="BE31" s="11">
        <v>486</v>
      </c>
      <c r="BF31" s="11">
        <v>720</v>
      </c>
      <c r="BG31" s="11">
        <v>148.245</v>
      </c>
      <c r="BH31" s="11">
        <v>1</v>
      </c>
      <c r="BI31" s="11">
        <v>2750</v>
      </c>
      <c r="BJ31" s="11" t="s">
        <v>103</v>
      </c>
      <c r="BK31" s="11">
        <v>343274</v>
      </c>
      <c r="BL31" s="11">
        <v>525730</v>
      </c>
      <c r="BM31" s="11">
        <v>153.15199999999999</v>
      </c>
      <c r="BN31" s="11">
        <v>116551</v>
      </c>
      <c r="BO31" s="11">
        <v>341211</v>
      </c>
      <c r="BP31" s="11">
        <v>292.75700000000001</v>
      </c>
      <c r="BQ31" s="11">
        <v>1</v>
      </c>
      <c r="BR31" s="11">
        <v>2000</v>
      </c>
      <c r="BS31" s="11" t="s">
        <v>103</v>
      </c>
      <c r="BT31" s="11">
        <v>119256</v>
      </c>
      <c r="BU31" s="11">
        <v>73272</v>
      </c>
      <c r="BV31" s="11">
        <v>61.441000000000003</v>
      </c>
      <c r="BW31" s="11">
        <v>0</v>
      </c>
      <c r="BX31" s="11">
        <v>127776</v>
      </c>
      <c r="BY31" s="11">
        <v>74148</v>
      </c>
      <c r="BZ31" s="11">
        <v>58.03</v>
      </c>
      <c r="CA31" s="11">
        <v>74148</v>
      </c>
      <c r="CB31" s="11">
        <v>58.03</v>
      </c>
      <c r="CC31" s="11">
        <v>0</v>
      </c>
      <c r="CD31" s="11">
        <v>0</v>
      </c>
      <c r="CE31" s="11" t="s">
        <v>140</v>
      </c>
      <c r="CF31" s="11">
        <v>24266</v>
      </c>
      <c r="CG31" s="11">
        <v>6417</v>
      </c>
      <c r="CH31" s="11">
        <v>26.445</v>
      </c>
      <c r="CI31" s="11">
        <v>8272</v>
      </c>
      <c r="CJ31" s="11">
        <v>6417</v>
      </c>
      <c r="CK31" s="11">
        <v>77.575999999999993</v>
      </c>
      <c r="CL31" s="11">
        <v>0</v>
      </c>
      <c r="CM31" s="11">
        <v>0</v>
      </c>
      <c r="CN31" s="11" t="s">
        <v>124</v>
      </c>
      <c r="CO31" s="11">
        <v>20564.642</v>
      </c>
      <c r="CQ31">
        <f>SUMIFS([1]Working!$DC:$DC,[1]Working!$E:$E,H31)</f>
        <v>20564.641939906011</v>
      </c>
      <c r="CR31">
        <f t="shared" si="0"/>
        <v>6.0093989304732531E-5</v>
      </c>
    </row>
    <row r="32" spans="1:96" x14ac:dyDescent="0.35">
      <c r="A32" s="9" t="s">
        <v>93</v>
      </c>
      <c r="B32" s="9" t="s">
        <v>94</v>
      </c>
      <c r="C32" s="9">
        <v>92</v>
      </c>
      <c r="D32" s="9" t="s">
        <v>95</v>
      </c>
      <c r="E32" s="9" t="s">
        <v>212</v>
      </c>
      <c r="F32" s="9" t="s">
        <v>96</v>
      </c>
      <c r="G32" s="9" t="s">
        <v>245</v>
      </c>
      <c r="H32" s="9" t="s">
        <v>246</v>
      </c>
      <c r="I32" s="9" t="s">
        <v>247</v>
      </c>
      <c r="J32" s="9" t="s">
        <v>121</v>
      </c>
      <c r="K32" s="10">
        <v>43671</v>
      </c>
      <c r="L32" s="9" t="s">
        <v>100</v>
      </c>
      <c r="M32" s="9" t="s">
        <v>248</v>
      </c>
      <c r="N32" s="9"/>
      <c r="O32" s="9">
        <v>1</v>
      </c>
      <c r="P32" s="11" t="s">
        <v>101</v>
      </c>
      <c r="Q32" s="11" t="s">
        <v>102</v>
      </c>
      <c r="R32" s="11">
        <v>676750</v>
      </c>
      <c r="S32" s="11">
        <v>718013</v>
      </c>
      <c r="T32" s="11">
        <v>106.09699999999999</v>
      </c>
      <c r="U32" s="11">
        <v>728730</v>
      </c>
      <c r="V32" s="11">
        <v>107.681</v>
      </c>
      <c r="W32" s="11">
        <v>493147</v>
      </c>
      <c r="X32" s="11">
        <v>5065</v>
      </c>
      <c r="Y32" s="11">
        <v>0</v>
      </c>
      <c r="Z32" s="11">
        <v>72.87</v>
      </c>
      <c r="AA32" s="11">
        <v>36119</v>
      </c>
      <c r="AB32" s="11">
        <v>0</v>
      </c>
      <c r="AC32" s="11">
        <v>0</v>
      </c>
      <c r="AD32" s="11">
        <v>7309</v>
      </c>
      <c r="AE32" s="11">
        <v>18500</v>
      </c>
      <c r="AF32" s="11">
        <v>253.107</v>
      </c>
      <c r="AG32" s="11">
        <v>704290</v>
      </c>
      <c r="AH32" s="11">
        <v>11191</v>
      </c>
      <c r="AI32" s="11">
        <v>0</v>
      </c>
      <c r="AJ32" s="11">
        <v>0.71699999999999997</v>
      </c>
      <c r="AK32" s="11">
        <v>2533</v>
      </c>
      <c r="AL32" s="11">
        <v>1</v>
      </c>
      <c r="AM32" s="11">
        <v>742691</v>
      </c>
      <c r="AN32" s="11">
        <v>796039</v>
      </c>
      <c r="AO32" s="11">
        <v>107.18300000000001</v>
      </c>
      <c r="AP32" s="11">
        <v>100</v>
      </c>
      <c r="AQ32" s="11">
        <v>10</v>
      </c>
      <c r="AR32" s="11">
        <v>1</v>
      </c>
      <c r="AS32" s="11">
        <v>1</v>
      </c>
      <c r="AT32" s="11">
        <v>704290</v>
      </c>
      <c r="AU32" s="11">
        <v>104.069</v>
      </c>
      <c r="AV32" s="11">
        <v>19367.973999999998</v>
      </c>
      <c r="AW32" s="11" t="s">
        <v>103</v>
      </c>
      <c r="AX32" s="11">
        <v>1500</v>
      </c>
      <c r="AY32" s="11" t="s">
        <v>103</v>
      </c>
      <c r="AZ32" s="11">
        <v>0</v>
      </c>
      <c r="BA32" s="11" t="s">
        <v>123</v>
      </c>
      <c r="BB32" s="11">
        <v>92507</v>
      </c>
      <c r="BC32" s="11">
        <v>172637</v>
      </c>
      <c r="BD32" s="11">
        <v>186.62100000000001</v>
      </c>
      <c r="BE32" s="11">
        <v>679</v>
      </c>
      <c r="BF32" s="11">
        <v>1216</v>
      </c>
      <c r="BG32" s="11">
        <v>179.05099999999999</v>
      </c>
      <c r="BH32" s="11">
        <v>1</v>
      </c>
      <c r="BI32" s="11">
        <v>3250</v>
      </c>
      <c r="BJ32" s="11" t="s">
        <v>103</v>
      </c>
      <c r="BK32" s="11">
        <v>551237</v>
      </c>
      <c r="BL32" s="11">
        <v>612243</v>
      </c>
      <c r="BM32" s="11">
        <v>111.06699999999999</v>
      </c>
      <c r="BN32" s="11">
        <v>152487</v>
      </c>
      <c r="BO32" s="11">
        <v>208802</v>
      </c>
      <c r="BP32" s="11">
        <v>136.93100000000001</v>
      </c>
      <c r="BQ32" s="11">
        <v>1</v>
      </c>
      <c r="BR32" s="11">
        <v>2000</v>
      </c>
      <c r="BS32" s="11" t="s">
        <v>103</v>
      </c>
      <c r="BT32" s="11">
        <v>212556</v>
      </c>
      <c r="BU32" s="11">
        <v>151429</v>
      </c>
      <c r="BV32" s="11">
        <v>71.242000000000004</v>
      </c>
      <c r="BW32" s="11">
        <v>0</v>
      </c>
      <c r="BX32" s="11">
        <v>250913</v>
      </c>
      <c r="BY32" s="11">
        <v>197156</v>
      </c>
      <c r="BZ32" s="11">
        <v>78.575000000000003</v>
      </c>
      <c r="CA32" s="11">
        <v>197156</v>
      </c>
      <c r="CB32" s="11">
        <v>78.575000000000003</v>
      </c>
      <c r="CC32" s="11">
        <v>0</v>
      </c>
      <c r="CD32" s="11">
        <v>0</v>
      </c>
      <c r="CE32" s="11" t="s">
        <v>140</v>
      </c>
      <c r="CF32" s="11">
        <v>19211</v>
      </c>
      <c r="CG32" s="11">
        <v>44839</v>
      </c>
      <c r="CH32" s="11">
        <v>233.405</v>
      </c>
      <c r="CI32" s="11">
        <v>8272</v>
      </c>
      <c r="CJ32" s="11">
        <v>5775</v>
      </c>
      <c r="CK32" s="11">
        <v>69.817999999999998</v>
      </c>
      <c r="CL32" s="11">
        <v>1</v>
      </c>
      <c r="CM32" s="11">
        <v>0</v>
      </c>
      <c r="CN32" s="11" t="s">
        <v>153</v>
      </c>
      <c r="CO32" s="11">
        <v>26117.973999999998</v>
      </c>
      <c r="CQ32">
        <f>SUMIFS([1]Working!$DC:$DC,[1]Working!$E:$E,H32)</f>
        <v>26117.97445935</v>
      </c>
      <c r="CR32">
        <f t="shared" si="0"/>
        <v>-4.5935000161989592E-4</v>
      </c>
    </row>
    <row r="33" spans="1:96" x14ac:dyDescent="0.35">
      <c r="A33" s="9" t="s">
        <v>93</v>
      </c>
      <c r="B33" s="9" t="s">
        <v>94</v>
      </c>
      <c r="C33" s="9">
        <v>92</v>
      </c>
      <c r="D33" s="9" t="s">
        <v>95</v>
      </c>
      <c r="E33" s="9" t="s">
        <v>212</v>
      </c>
      <c r="F33" s="9" t="s">
        <v>96</v>
      </c>
      <c r="G33" s="9" t="s">
        <v>249</v>
      </c>
      <c r="H33" s="9" t="s">
        <v>250</v>
      </c>
      <c r="I33" s="9" t="s">
        <v>251</v>
      </c>
      <c r="J33" s="9" t="s">
        <v>121</v>
      </c>
      <c r="K33" s="10">
        <v>43619</v>
      </c>
      <c r="L33" s="9" t="s">
        <v>100</v>
      </c>
      <c r="M33" s="9" t="s">
        <v>252</v>
      </c>
      <c r="N33" s="9"/>
      <c r="O33" s="9">
        <v>1</v>
      </c>
      <c r="P33" s="11" t="s">
        <v>101</v>
      </c>
      <c r="Q33" s="11" t="s">
        <v>102</v>
      </c>
      <c r="R33" s="11">
        <v>468719</v>
      </c>
      <c r="S33" s="11">
        <v>486407</v>
      </c>
      <c r="T33" s="11">
        <v>103.774</v>
      </c>
      <c r="U33" s="11">
        <v>478374</v>
      </c>
      <c r="V33" s="11">
        <v>102.06</v>
      </c>
      <c r="W33" s="11">
        <v>196470</v>
      </c>
      <c r="X33" s="11">
        <v>4539</v>
      </c>
      <c r="Y33" s="11">
        <v>0</v>
      </c>
      <c r="Z33" s="11">
        <v>41.915999999999997</v>
      </c>
      <c r="AA33" s="11">
        <v>31433</v>
      </c>
      <c r="AB33" s="11">
        <v>52034</v>
      </c>
      <c r="AC33" s="11">
        <v>165.542</v>
      </c>
      <c r="AD33" s="11">
        <v>23157</v>
      </c>
      <c r="AE33" s="11">
        <v>38832</v>
      </c>
      <c r="AF33" s="11">
        <v>167.69399999999999</v>
      </c>
      <c r="AG33" s="11">
        <v>484137</v>
      </c>
      <c r="AH33" s="11">
        <v>0</v>
      </c>
      <c r="AI33" s="11">
        <v>0</v>
      </c>
      <c r="AJ33" s="11">
        <v>0.93300000000000005</v>
      </c>
      <c r="AK33" s="11">
        <v>2270</v>
      </c>
      <c r="AL33" s="11">
        <v>1</v>
      </c>
      <c r="AM33" s="11">
        <v>501936</v>
      </c>
      <c r="AN33" s="11">
        <v>546585</v>
      </c>
      <c r="AO33" s="11">
        <v>108.895</v>
      </c>
      <c r="AP33" s="11">
        <v>100</v>
      </c>
      <c r="AQ33" s="11">
        <v>6</v>
      </c>
      <c r="AR33" s="11">
        <v>0.9</v>
      </c>
      <c r="AS33" s="11">
        <v>1</v>
      </c>
      <c r="AT33" s="11">
        <v>484137</v>
      </c>
      <c r="AU33" s="11">
        <v>103.289</v>
      </c>
      <c r="AV33" s="11">
        <v>13313.775</v>
      </c>
      <c r="AW33" s="11" t="s">
        <v>103</v>
      </c>
      <c r="AX33" s="11">
        <v>1500</v>
      </c>
      <c r="AY33" s="11" t="s">
        <v>103</v>
      </c>
      <c r="AZ33" s="11">
        <v>0</v>
      </c>
      <c r="BA33" s="11" t="s">
        <v>123</v>
      </c>
      <c r="BB33" s="11">
        <v>38725</v>
      </c>
      <c r="BC33" s="11">
        <v>79260</v>
      </c>
      <c r="BD33" s="11">
        <v>204.67099999999999</v>
      </c>
      <c r="BE33" s="11">
        <v>285</v>
      </c>
      <c r="BF33" s="11">
        <v>550</v>
      </c>
      <c r="BG33" s="11">
        <v>193.07400000000001</v>
      </c>
      <c r="BH33" s="11">
        <v>1</v>
      </c>
      <c r="BI33" s="11">
        <v>2000</v>
      </c>
      <c r="BJ33" s="11" t="s">
        <v>103</v>
      </c>
      <c r="BK33" s="11">
        <v>360456</v>
      </c>
      <c r="BL33" s="11">
        <v>374106</v>
      </c>
      <c r="BM33" s="11">
        <v>103.78700000000001</v>
      </c>
      <c r="BN33" s="11">
        <v>114349</v>
      </c>
      <c r="BO33" s="11">
        <v>133364</v>
      </c>
      <c r="BP33" s="11">
        <v>116.629</v>
      </c>
      <c r="BQ33" s="11">
        <v>1</v>
      </c>
      <c r="BR33" s="11">
        <v>2000</v>
      </c>
      <c r="BS33" s="11" t="s">
        <v>103</v>
      </c>
      <c r="BT33" s="11">
        <v>129738</v>
      </c>
      <c r="BU33" s="11">
        <v>96515</v>
      </c>
      <c r="BV33" s="11">
        <v>74.391999999999996</v>
      </c>
      <c r="BW33" s="11">
        <v>0</v>
      </c>
      <c r="BX33" s="11">
        <v>145279</v>
      </c>
      <c r="BY33" s="11">
        <v>100019</v>
      </c>
      <c r="BZ33" s="11">
        <v>68.846000000000004</v>
      </c>
      <c r="CA33" s="11">
        <v>100019</v>
      </c>
      <c r="CB33" s="11">
        <v>68.846000000000004</v>
      </c>
      <c r="CC33" s="11">
        <v>0</v>
      </c>
      <c r="CD33" s="11">
        <v>0</v>
      </c>
      <c r="CE33" s="11" t="s">
        <v>140</v>
      </c>
      <c r="CF33" s="11">
        <v>30671</v>
      </c>
      <c r="CG33" s="11">
        <v>9430</v>
      </c>
      <c r="CH33" s="11">
        <v>30.744</v>
      </c>
      <c r="CI33" s="11">
        <v>8272</v>
      </c>
      <c r="CJ33" s="11">
        <v>5775</v>
      </c>
      <c r="CK33" s="11">
        <v>69.817999999999998</v>
      </c>
      <c r="CL33" s="11">
        <v>0</v>
      </c>
      <c r="CM33" s="11">
        <v>0</v>
      </c>
      <c r="CN33" s="11" t="s">
        <v>124</v>
      </c>
      <c r="CO33" s="11">
        <v>18813.775000000001</v>
      </c>
      <c r="CQ33">
        <f>SUMIFS([1]Working!$DC:$DC,[1]Working!$E:$E,H33)</f>
        <v>18813.775337499992</v>
      </c>
      <c r="CR33">
        <f t="shared" si="0"/>
        <v>-3.3749999056453817E-4</v>
      </c>
    </row>
    <row r="34" spans="1:96" x14ac:dyDescent="0.35">
      <c r="A34" s="3" t="s">
        <v>93</v>
      </c>
      <c r="B34" s="3" t="s">
        <v>94</v>
      </c>
      <c r="C34" s="3">
        <v>92</v>
      </c>
      <c r="D34" s="3" t="s">
        <v>95</v>
      </c>
      <c r="E34" s="3"/>
      <c r="F34" s="3" t="s">
        <v>253</v>
      </c>
      <c r="G34" s="3" t="s">
        <v>253</v>
      </c>
      <c r="H34" s="3" t="s">
        <v>254</v>
      </c>
      <c r="I34" s="3" t="s">
        <v>255</v>
      </c>
      <c r="J34" s="3" t="s">
        <v>99</v>
      </c>
      <c r="K34" s="4">
        <v>43418</v>
      </c>
      <c r="L34" s="3" t="s">
        <v>256</v>
      </c>
      <c r="M34" s="3" t="s">
        <v>257</v>
      </c>
      <c r="N34" s="3"/>
      <c r="O34" s="3">
        <v>29</v>
      </c>
      <c r="P34" s="5" t="s">
        <v>101</v>
      </c>
      <c r="Q34" s="5" t="s">
        <v>102</v>
      </c>
      <c r="R34" s="5">
        <v>13411666</v>
      </c>
      <c r="S34" s="5">
        <v>12677070</v>
      </c>
      <c r="T34" s="5">
        <v>94.522999999999996</v>
      </c>
      <c r="U34" s="5">
        <v>12759140</v>
      </c>
      <c r="V34" s="5">
        <v>95.135000000000005</v>
      </c>
      <c r="W34" s="5">
        <v>0</v>
      </c>
      <c r="X34" s="5">
        <v>189430</v>
      </c>
      <c r="Y34" s="5">
        <v>1186159</v>
      </c>
      <c r="Z34" s="5">
        <v>0</v>
      </c>
      <c r="AA34" s="5">
        <v>752255</v>
      </c>
      <c r="AB34" s="5">
        <v>654869</v>
      </c>
      <c r="AC34" s="5">
        <v>87.054000000000002</v>
      </c>
      <c r="AD34" s="5">
        <v>433412</v>
      </c>
      <c r="AE34" s="5">
        <v>741977</v>
      </c>
      <c r="AF34" s="5">
        <v>171.19399999999999</v>
      </c>
      <c r="AG34" s="5">
        <v>12273790</v>
      </c>
      <c r="AH34" s="5">
        <v>308565</v>
      </c>
      <c r="AI34" s="5">
        <v>9.59</v>
      </c>
      <c r="AJ34" s="5">
        <v>1.532</v>
      </c>
      <c r="AK34" s="5">
        <v>94715</v>
      </c>
      <c r="AL34" s="5">
        <v>20</v>
      </c>
      <c r="AM34" s="5">
        <v>13891367</v>
      </c>
      <c r="AN34" s="5">
        <v>13034117</v>
      </c>
      <c r="AO34" s="5">
        <v>93.828999999999994</v>
      </c>
      <c r="AP34" s="5">
        <v>0</v>
      </c>
      <c r="AQ34" s="5">
        <v>0</v>
      </c>
      <c r="AR34" s="5"/>
      <c r="AS34" s="5"/>
      <c r="AT34" s="5">
        <v>12273790</v>
      </c>
      <c r="AU34" s="5">
        <v>91.516000000000005</v>
      </c>
      <c r="AV34" s="5">
        <v>0</v>
      </c>
      <c r="AW34" s="5" t="s">
        <v>113</v>
      </c>
      <c r="AX34" s="5">
        <v>0</v>
      </c>
      <c r="AY34" s="5" t="s">
        <v>104</v>
      </c>
      <c r="AZ34" s="5">
        <v>0</v>
      </c>
      <c r="BA34" s="5" t="s">
        <v>105</v>
      </c>
      <c r="BB34" s="5">
        <v>719520</v>
      </c>
      <c r="BC34" s="5">
        <v>676092</v>
      </c>
      <c r="BD34" s="5">
        <v>93.963999999999999</v>
      </c>
      <c r="BE34" s="5">
        <v>4766</v>
      </c>
      <c r="BF34" s="5">
        <v>4342</v>
      </c>
      <c r="BG34" s="5">
        <v>91.100999999999999</v>
      </c>
      <c r="BH34" s="5">
        <v>13</v>
      </c>
      <c r="BI34" s="5">
        <v>0</v>
      </c>
      <c r="BJ34" s="5" t="s">
        <v>106</v>
      </c>
      <c r="BK34" s="5">
        <v>8728664</v>
      </c>
      <c r="BL34" s="5">
        <v>7931749</v>
      </c>
      <c r="BM34" s="5">
        <v>90.87</v>
      </c>
      <c r="BN34" s="5">
        <v>2862939</v>
      </c>
      <c r="BO34" s="5">
        <v>3149489</v>
      </c>
      <c r="BP34" s="5">
        <v>110.009</v>
      </c>
      <c r="BQ34" s="5">
        <v>19</v>
      </c>
      <c r="BR34" s="5">
        <v>0</v>
      </c>
      <c r="BS34" s="5" t="s">
        <v>106</v>
      </c>
      <c r="BT34" s="5">
        <v>3488268</v>
      </c>
      <c r="BU34" s="5">
        <v>2455033</v>
      </c>
      <c r="BV34" s="5">
        <v>70.38</v>
      </c>
      <c r="BW34" s="5">
        <v>0</v>
      </c>
      <c r="BX34" s="5">
        <v>3791859</v>
      </c>
      <c r="BY34" s="5">
        <v>3041943</v>
      </c>
      <c r="BZ34" s="5">
        <v>80.222999999999999</v>
      </c>
      <c r="CA34" s="5">
        <v>3041943</v>
      </c>
      <c r="CB34" s="5">
        <v>80.222999999999999</v>
      </c>
      <c r="CC34" s="5">
        <v>11</v>
      </c>
      <c r="CD34" s="5">
        <v>0</v>
      </c>
      <c r="CE34" s="5" t="s">
        <v>106</v>
      </c>
      <c r="CF34" s="5">
        <v>602092</v>
      </c>
      <c r="CG34" s="5">
        <v>717920</v>
      </c>
      <c r="CH34" s="5">
        <v>119.238</v>
      </c>
      <c r="CI34" s="5">
        <v>231614</v>
      </c>
      <c r="CJ34" s="5">
        <v>39530</v>
      </c>
      <c r="CK34" s="5">
        <v>17.067</v>
      </c>
      <c r="CL34" s="5">
        <v>10</v>
      </c>
      <c r="CM34" s="5">
        <v>0</v>
      </c>
      <c r="CN34" s="5" t="s">
        <v>106</v>
      </c>
      <c r="CO34" s="5">
        <v>0</v>
      </c>
      <c r="CQ34">
        <f>SUMIFS([1]Working!$DC:$DC,[1]Working!$E:$E,H34)</f>
        <v>0</v>
      </c>
      <c r="CR34">
        <f t="shared" si="0"/>
        <v>0</v>
      </c>
    </row>
    <row r="35" spans="1:96" x14ac:dyDescent="0.35">
      <c r="A35" s="6" t="s">
        <v>93</v>
      </c>
      <c r="B35" s="6" t="s">
        <v>94</v>
      </c>
      <c r="C35" s="6">
        <v>92</v>
      </c>
      <c r="D35" s="6" t="s">
        <v>95</v>
      </c>
      <c r="E35" s="6" t="s">
        <v>258</v>
      </c>
      <c r="F35" s="6" t="s">
        <v>253</v>
      </c>
      <c r="G35" s="6" t="s">
        <v>258</v>
      </c>
      <c r="H35" s="6" t="s">
        <v>259</v>
      </c>
      <c r="I35" s="6" t="s">
        <v>260</v>
      </c>
      <c r="J35" s="6" t="s">
        <v>110</v>
      </c>
      <c r="K35" s="7">
        <v>39783</v>
      </c>
      <c r="L35" s="6" t="s">
        <v>256</v>
      </c>
      <c r="M35" s="6" t="s">
        <v>261</v>
      </c>
      <c r="N35" s="6"/>
      <c r="O35" s="6">
        <v>9</v>
      </c>
      <c r="P35" s="8" t="s">
        <v>101</v>
      </c>
      <c r="Q35" s="8" t="s">
        <v>102</v>
      </c>
      <c r="R35" s="8">
        <v>4253831</v>
      </c>
      <c r="S35" s="8">
        <v>4578654</v>
      </c>
      <c r="T35" s="8">
        <v>107.636</v>
      </c>
      <c r="U35" s="8">
        <v>4286363</v>
      </c>
      <c r="V35" s="8">
        <v>100.765</v>
      </c>
      <c r="W35" s="8">
        <v>2348184</v>
      </c>
      <c r="X35" s="8">
        <v>25646</v>
      </c>
      <c r="Y35" s="8">
        <v>0</v>
      </c>
      <c r="Z35" s="8">
        <v>55.201999999999998</v>
      </c>
      <c r="AA35" s="8">
        <v>322619</v>
      </c>
      <c r="AB35" s="8">
        <v>444742</v>
      </c>
      <c r="AC35" s="8">
        <v>137.85400000000001</v>
      </c>
      <c r="AD35" s="8">
        <v>35594</v>
      </c>
      <c r="AE35" s="8">
        <v>98609</v>
      </c>
      <c r="AF35" s="8">
        <v>277.03399999999999</v>
      </c>
      <c r="AG35" s="8">
        <v>4565831</v>
      </c>
      <c r="AH35" s="8">
        <v>0</v>
      </c>
      <c r="AI35" s="8">
        <v>0</v>
      </c>
      <c r="AJ35" s="8">
        <v>0.56000000000000005</v>
      </c>
      <c r="AK35" s="8">
        <v>12823</v>
      </c>
      <c r="AL35" s="8">
        <v>8</v>
      </c>
      <c r="AM35" s="8">
        <v>4189294</v>
      </c>
      <c r="AN35" s="8">
        <v>4723034</v>
      </c>
      <c r="AO35" s="8">
        <v>112.741</v>
      </c>
      <c r="AP35" s="8">
        <v>0</v>
      </c>
      <c r="AQ35" s="8">
        <v>0</v>
      </c>
      <c r="AR35" s="8"/>
      <c r="AS35" s="8"/>
      <c r="AT35" s="8">
        <v>4466522</v>
      </c>
      <c r="AU35" s="8">
        <v>105</v>
      </c>
      <c r="AV35" s="8">
        <v>24317.733</v>
      </c>
      <c r="AW35" s="8" t="s">
        <v>103</v>
      </c>
      <c r="AX35" s="8">
        <v>1800</v>
      </c>
      <c r="AY35" s="8" t="s">
        <v>103</v>
      </c>
      <c r="AZ35" s="8">
        <v>0</v>
      </c>
      <c r="BA35" s="8" t="s">
        <v>105</v>
      </c>
      <c r="BB35" s="8">
        <v>182648</v>
      </c>
      <c r="BC35" s="8">
        <v>286251</v>
      </c>
      <c r="BD35" s="8">
        <v>156.72200000000001</v>
      </c>
      <c r="BE35" s="8">
        <v>1342</v>
      </c>
      <c r="BF35" s="8">
        <v>2006</v>
      </c>
      <c r="BG35" s="8">
        <v>149.51400000000001</v>
      </c>
      <c r="BH35" s="8">
        <v>6</v>
      </c>
      <c r="BI35" s="8">
        <v>1701.3889999999999</v>
      </c>
      <c r="BJ35" s="8" t="s">
        <v>103</v>
      </c>
      <c r="BK35" s="8">
        <v>2082669</v>
      </c>
      <c r="BL35" s="8">
        <v>2803653</v>
      </c>
      <c r="BM35" s="8">
        <v>134.61799999999999</v>
      </c>
      <c r="BN35" s="8">
        <v>343662</v>
      </c>
      <c r="BO35" s="8">
        <v>581479</v>
      </c>
      <c r="BP35" s="8">
        <v>169.20099999999999</v>
      </c>
      <c r="BQ35" s="8">
        <v>7</v>
      </c>
      <c r="BR35" s="8">
        <v>1701.3889999999999</v>
      </c>
      <c r="BS35" s="8" t="s">
        <v>103</v>
      </c>
      <c r="BT35" s="8">
        <v>831994</v>
      </c>
      <c r="BU35" s="8">
        <v>760910</v>
      </c>
      <c r="BV35" s="8">
        <v>91.456000000000003</v>
      </c>
      <c r="BW35" s="8">
        <v>0</v>
      </c>
      <c r="BX35" s="8">
        <v>952547</v>
      </c>
      <c r="BY35" s="8">
        <v>956652</v>
      </c>
      <c r="BZ35" s="8">
        <v>100.431</v>
      </c>
      <c r="CA35" s="8">
        <v>956652</v>
      </c>
      <c r="CB35" s="8">
        <v>100.431</v>
      </c>
      <c r="CC35" s="8">
        <v>4</v>
      </c>
      <c r="CD35" s="8">
        <v>1319.444</v>
      </c>
      <c r="CE35" s="8" t="s">
        <v>103</v>
      </c>
      <c r="CF35" s="8">
        <v>281192</v>
      </c>
      <c r="CG35" s="8">
        <v>534529</v>
      </c>
      <c r="CH35" s="8">
        <v>190.09399999999999</v>
      </c>
      <c r="CI35" s="8">
        <v>74447</v>
      </c>
      <c r="CJ35" s="8">
        <v>0</v>
      </c>
      <c r="CK35" s="8">
        <v>0</v>
      </c>
      <c r="CL35" s="8">
        <v>7</v>
      </c>
      <c r="CM35" s="8">
        <v>0</v>
      </c>
      <c r="CN35" s="8" t="s">
        <v>153</v>
      </c>
      <c r="CO35" s="8">
        <v>30839.955999999998</v>
      </c>
      <c r="CQ35">
        <f>SUMIFS([1]Working!$DC:$DC,[1]Working!$E:$E,H35)</f>
        <v>30839.955656511404</v>
      </c>
      <c r="CR35">
        <f t="shared" si="0"/>
        <v>3.4348859480815008E-4</v>
      </c>
    </row>
    <row r="36" spans="1:96" x14ac:dyDescent="0.35">
      <c r="A36" s="9" t="s">
        <v>93</v>
      </c>
      <c r="B36" s="9" t="s">
        <v>94</v>
      </c>
      <c r="C36" s="9">
        <v>92</v>
      </c>
      <c r="D36" s="9" t="s">
        <v>95</v>
      </c>
      <c r="E36" s="9" t="s">
        <v>258</v>
      </c>
      <c r="F36" s="9" t="s">
        <v>253</v>
      </c>
      <c r="G36" s="9" t="s">
        <v>262</v>
      </c>
      <c r="H36" s="9" t="s">
        <v>263</v>
      </c>
      <c r="I36" s="9" t="s">
        <v>264</v>
      </c>
      <c r="J36" s="9" t="s">
        <v>121</v>
      </c>
      <c r="K36" s="10">
        <v>44810</v>
      </c>
      <c r="L36" s="9" t="s">
        <v>256</v>
      </c>
      <c r="M36" s="9" t="s">
        <v>265</v>
      </c>
      <c r="N36" s="9"/>
      <c r="O36" s="9">
        <v>1</v>
      </c>
      <c r="P36" s="11" t="s">
        <v>101</v>
      </c>
      <c r="Q36" s="11" t="s">
        <v>102</v>
      </c>
      <c r="R36" s="11">
        <v>355759</v>
      </c>
      <c r="S36" s="11">
        <v>440629</v>
      </c>
      <c r="T36" s="11">
        <v>123.85599999999999</v>
      </c>
      <c r="U36" s="11">
        <v>473640</v>
      </c>
      <c r="V36" s="11">
        <v>133.13499999999999</v>
      </c>
      <c r="W36" s="11">
        <v>400905</v>
      </c>
      <c r="X36" s="11">
        <v>6734</v>
      </c>
      <c r="Y36" s="11">
        <v>0</v>
      </c>
      <c r="Z36" s="11">
        <v>112.69</v>
      </c>
      <c r="AA36" s="11">
        <v>42881</v>
      </c>
      <c r="AB36" s="11">
        <v>35573</v>
      </c>
      <c r="AC36" s="11">
        <v>82.956000000000003</v>
      </c>
      <c r="AD36" s="11">
        <v>3443</v>
      </c>
      <c r="AE36" s="11">
        <v>5550</v>
      </c>
      <c r="AF36" s="11">
        <v>161.203</v>
      </c>
      <c r="AG36" s="11">
        <v>432130</v>
      </c>
      <c r="AH36" s="11">
        <v>5131</v>
      </c>
      <c r="AI36" s="11">
        <v>0</v>
      </c>
      <c r="AJ36" s="11">
        <v>1.546</v>
      </c>
      <c r="AK36" s="11">
        <v>3367</v>
      </c>
      <c r="AL36" s="11">
        <v>1</v>
      </c>
      <c r="AM36" s="11">
        <v>369342</v>
      </c>
      <c r="AN36" s="11">
        <v>419619</v>
      </c>
      <c r="AO36" s="11">
        <v>113.613</v>
      </c>
      <c r="AP36" s="11">
        <v>100</v>
      </c>
      <c r="AQ36" s="11">
        <v>5</v>
      </c>
      <c r="AR36" s="11">
        <v>0.9</v>
      </c>
      <c r="AS36" s="11">
        <v>1</v>
      </c>
      <c r="AT36" s="11">
        <v>373547</v>
      </c>
      <c r="AU36" s="11">
        <v>105</v>
      </c>
      <c r="AV36" s="11">
        <v>10459.306</v>
      </c>
      <c r="AW36" s="11" t="s">
        <v>103</v>
      </c>
      <c r="AX36" s="11">
        <v>1500</v>
      </c>
      <c r="AY36" s="11" t="s">
        <v>103</v>
      </c>
      <c r="AZ36" s="11">
        <v>0</v>
      </c>
      <c r="BA36" s="11" t="s">
        <v>123</v>
      </c>
      <c r="BB36" s="11">
        <v>18192</v>
      </c>
      <c r="BC36" s="11">
        <v>40426</v>
      </c>
      <c r="BD36" s="11">
        <v>222.215</v>
      </c>
      <c r="BE36" s="11">
        <v>134</v>
      </c>
      <c r="BF36" s="11">
        <v>280</v>
      </c>
      <c r="BG36" s="11">
        <v>209.65199999999999</v>
      </c>
      <c r="BH36" s="11">
        <v>1</v>
      </c>
      <c r="BI36" s="11">
        <v>2000</v>
      </c>
      <c r="BJ36" s="11" t="s">
        <v>103</v>
      </c>
      <c r="BK36" s="11">
        <v>222794</v>
      </c>
      <c r="BL36" s="11">
        <v>285902</v>
      </c>
      <c r="BM36" s="11">
        <v>128.32599999999999</v>
      </c>
      <c r="BN36" s="11">
        <v>53839</v>
      </c>
      <c r="BO36" s="11">
        <v>110118</v>
      </c>
      <c r="BP36" s="11">
        <v>204.53299999999999</v>
      </c>
      <c r="BQ36" s="11">
        <v>1</v>
      </c>
      <c r="BR36" s="11">
        <v>1250</v>
      </c>
      <c r="BS36" s="11" t="s">
        <v>103</v>
      </c>
      <c r="BT36" s="11">
        <v>68302</v>
      </c>
      <c r="BU36" s="11">
        <v>78157</v>
      </c>
      <c r="BV36" s="11">
        <v>114.428</v>
      </c>
      <c r="BW36" s="11">
        <v>3024</v>
      </c>
      <c r="BX36" s="11">
        <v>76000</v>
      </c>
      <c r="BY36" s="11">
        <v>107941</v>
      </c>
      <c r="BZ36" s="11">
        <v>142.02699999999999</v>
      </c>
      <c r="CA36" s="11">
        <v>104916</v>
      </c>
      <c r="CB36" s="11">
        <v>138.048</v>
      </c>
      <c r="CC36" s="11">
        <v>1</v>
      </c>
      <c r="CD36" s="11">
        <v>2500</v>
      </c>
      <c r="CE36" s="11" t="s">
        <v>103</v>
      </c>
      <c r="CF36" s="11">
        <v>31881</v>
      </c>
      <c r="CG36" s="11">
        <v>0</v>
      </c>
      <c r="CH36" s="11">
        <v>0</v>
      </c>
      <c r="CI36" s="11">
        <v>8272</v>
      </c>
      <c r="CJ36" s="11">
        <v>0</v>
      </c>
      <c r="CK36" s="11">
        <v>0</v>
      </c>
      <c r="CL36" s="11">
        <v>0</v>
      </c>
      <c r="CM36" s="11">
        <v>0</v>
      </c>
      <c r="CN36" s="11" t="s">
        <v>124</v>
      </c>
      <c r="CO36" s="11">
        <v>17709.306</v>
      </c>
      <c r="CQ36">
        <f>SUMIFS([1]Working!$DC:$DC,[1]Working!$E:$E,H36)</f>
        <v>17709.306087817997</v>
      </c>
      <c r="CR36">
        <f t="shared" si="0"/>
        <v>-8.7817996245576069E-5</v>
      </c>
    </row>
    <row r="37" spans="1:96" x14ac:dyDescent="0.35">
      <c r="A37" s="9" t="s">
        <v>93</v>
      </c>
      <c r="B37" s="9" t="s">
        <v>94</v>
      </c>
      <c r="C37" s="9">
        <v>92</v>
      </c>
      <c r="D37" s="9" t="s">
        <v>95</v>
      </c>
      <c r="E37" s="9" t="s">
        <v>258</v>
      </c>
      <c r="F37" s="9" t="s">
        <v>253</v>
      </c>
      <c r="G37" s="9" t="s">
        <v>266</v>
      </c>
      <c r="H37" s="9" t="s">
        <v>267</v>
      </c>
      <c r="I37" s="9" t="s">
        <v>268</v>
      </c>
      <c r="J37" s="9" t="s">
        <v>121</v>
      </c>
      <c r="K37" s="10">
        <v>42522</v>
      </c>
      <c r="L37" s="9" t="s">
        <v>256</v>
      </c>
      <c r="M37" s="9" t="s">
        <v>269</v>
      </c>
      <c r="N37" s="9"/>
      <c r="O37" s="9">
        <v>1</v>
      </c>
      <c r="P37" s="11" t="s">
        <v>101</v>
      </c>
      <c r="Q37" s="11" t="s">
        <v>102</v>
      </c>
      <c r="R37" s="11">
        <v>634057</v>
      </c>
      <c r="S37" s="11">
        <v>646491</v>
      </c>
      <c r="T37" s="11">
        <v>101.961</v>
      </c>
      <c r="U37" s="11">
        <v>568672</v>
      </c>
      <c r="V37" s="11">
        <v>89.688000000000002</v>
      </c>
      <c r="W37" s="11">
        <v>280134</v>
      </c>
      <c r="X37" s="11">
        <v>4030</v>
      </c>
      <c r="Y37" s="11">
        <v>0</v>
      </c>
      <c r="Z37" s="11">
        <v>44.180999999999997</v>
      </c>
      <c r="AA37" s="11">
        <v>13547</v>
      </c>
      <c r="AB37" s="11">
        <v>0</v>
      </c>
      <c r="AC37" s="11">
        <v>0</v>
      </c>
      <c r="AD37" s="11">
        <v>11373</v>
      </c>
      <c r="AE37" s="11">
        <v>72875</v>
      </c>
      <c r="AF37" s="11">
        <v>640.78599999999994</v>
      </c>
      <c r="AG37" s="11">
        <v>582974</v>
      </c>
      <c r="AH37" s="11">
        <v>61502</v>
      </c>
      <c r="AI37" s="11">
        <v>0</v>
      </c>
      <c r="AJ37" s="11">
        <v>0.68899999999999995</v>
      </c>
      <c r="AK37" s="11">
        <v>2015</v>
      </c>
      <c r="AL37" s="11">
        <v>0</v>
      </c>
      <c r="AM37" s="11">
        <v>559792</v>
      </c>
      <c r="AN37" s="11">
        <v>653953</v>
      </c>
      <c r="AO37" s="11">
        <v>116.821</v>
      </c>
      <c r="AP37" s="11">
        <v>100</v>
      </c>
      <c r="AQ37" s="11">
        <v>12</v>
      </c>
      <c r="AR37" s="11">
        <v>1</v>
      </c>
      <c r="AS37" s="11">
        <v>1</v>
      </c>
      <c r="AT37" s="11">
        <v>582974</v>
      </c>
      <c r="AU37" s="11">
        <v>91.942999999999998</v>
      </c>
      <c r="AV37" s="11">
        <v>0</v>
      </c>
      <c r="AW37" s="11" t="s">
        <v>113</v>
      </c>
      <c r="AX37" s="11">
        <v>0</v>
      </c>
      <c r="AY37" s="11" t="s">
        <v>113</v>
      </c>
      <c r="AZ37" s="11">
        <v>0</v>
      </c>
      <c r="BA37" s="11" t="s">
        <v>123</v>
      </c>
      <c r="BB37" s="11">
        <v>9876</v>
      </c>
      <c r="BC37" s="11">
        <v>11288</v>
      </c>
      <c r="BD37" s="11">
        <v>114.29600000000001</v>
      </c>
      <c r="BE37" s="11">
        <v>72</v>
      </c>
      <c r="BF37" s="11">
        <v>78</v>
      </c>
      <c r="BG37" s="11">
        <v>107.587</v>
      </c>
      <c r="BH37" s="11">
        <v>1</v>
      </c>
      <c r="BI37" s="11">
        <v>0</v>
      </c>
      <c r="BJ37" s="11" t="s">
        <v>114</v>
      </c>
      <c r="BK37" s="11">
        <v>291412</v>
      </c>
      <c r="BL37" s="11">
        <v>341114</v>
      </c>
      <c r="BM37" s="11">
        <v>117.05500000000001</v>
      </c>
      <c r="BN37" s="11">
        <v>28263</v>
      </c>
      <c r="BO37" s="11">
        <v>27936</v>
      </c>
      <c r="BP37" s="11">
        <v>98.846000000000004</v>
      </c>
      <c r="BQ37" s="11">
        <v>0</v>
      </c>
      <c r="BR37" s="11">
        <v>0</v>
      </c>
      <c r="BS37" s="11" t="s">
        <v>115</v>
      </c>
      <c r="BT37" s="11">
        <v>175096</v>
      </c>
      <c r="BU37" s="11">
        <v>156213</v>
      </c>
      <c r="BV37" s="11">
        <v>89.215999999999994</v>
      </c>
      <c r="BW37" s="11">
        <v>0</v>
      </c>
      <c r="BX37" s="11">
        <v>199137</v>
      </c>
      <c r="BY37" s="11">
        <v>184205</v>
      </c>
      <c r="BZ37" s="11">
        <v>92.501999999999995</v>
      </c>
      <c r="CA37" s="11">
        <v>184205</v>
      </c>
      <c r="CB37" s="11">
        <v>92.501999999999995</v>
      </c>
      <c r="CC37" s="11">
        <v>0</v>
      </c>
      <c r="CD37" s="11">
        <v>0</v>
      </c>
      <c r="CE37" s="11" t="s">
        <v>161</v>
      </c>
      <c r="CF37" s="11">
        <v>40591</v>
      </c>
      <c r="CG37" s="11">
        <v>179186</v>
      </c>
      <c r="CH37" s="11">
        <v>441.44799999999998</v>
      </c>
      <c r="CI37" s="11">
        <v>8272</v>
      </c>
      <c r="CJ37" s="11">
        <v>0</v>
      </c>
      <c r="CK37" s="11">
        <v>0</v>
      </c>
      <c r="CL37" s="11">
        <v>1</v>
      </c>
      <c r="CM37" s="11">
        <v>0</v>
      </c>
      <c r="CN37" s="11" t="s">
        <v>270</v>
      </c>
      <c r="CO37" s="11">
        <v>0</v>
      </c>
      <c r="CQ37">
        <f>SUMIFS([1]Working!$DC:$DC,[1]Working!$E:$E,H37)</f>
        <v>0</v>
      </c>
      <c r="CR37">
        <f t="shared" si="0"/>
        <v>0</v>
      </c>
    </row>
    <row r="38" spans="1:96" x14ac:dyDescent="0.35">
      <c r="A38" s="9" t="s">
        <v>93</v>
      </c>
      <c r="B38" s="9" t="s">
        <v>94</v>
      </c>
      <c r="C38" s="9">
        <v>92</v>
      </c>
      <c r="D38" s="9" t="s">
        <v>95</v>
      </c>
      <c r="E38" s="9" t="s">
        <v>258</v>
      </c>
      <c r="F38" s="9" t="s">
        <v>253</v>
      </c>
      <c r="G38" s="9" t="s">
        <v>271</v>
      </c>
      <c r="H38" s="9" t="s">
        <v>272</v>
      </c>
      <c r="I38" s="9" t="s">
        <v>273</v>
      </c>
      <c r="J38" s="9" t="s">
        <v>121</v>
      </c>
      <c r="K38" s="10">
        <v>43172</v>
      </c>
      <c r="L38" s="9" t="s">
        <v>256</v>
      </c>
      <c r="M38" s="9" t="s">
        <v>274</v>
      </c>
      <c r="N38" s="9"/>
      <c r="O38" s="9">
        <v>1</v>
      </c>
      <c r="P38" s="11" t="s">
        <v>101</v>
      </c>
      <c r="Q38" s="11" t="s">
        <v>102</v>
      </c>
      <c r="R38" s="11">
        <v>539004</v>
      </c>
      <c r="S38" s="11">
        <v>554405</v>
      </c>
      <c r="T38" s="11">
        <v>102.857</v>
      </c>
      <c r="U38" s="11">
        <v>563716</v>
      </c>
      <c r="V38" s="11">
        <v>104.58499999999999</v>
      </c>
      <c r="W38" s="11">
        <v>149209</v>
      </c>
      <c r="X38" s="11">
        <v>2826</v>
      </c>
      <c r="Y38" s="11">
        <v>0</v>
      </c>
      <c r="Z38" s="11">
        <v>27.681999999999999</v>
      </c>
      <c r="AA38" s="11">
        <v>56921</v>
      </c>
      <c r="AB38" s="11">
        <v>-65</v>
      </c>
      <c r="AC38" s="11">
        <v>-0.114</v>
      </c>
      <c r="AD38" s="11">
        <v>4528</v>
      </c>
      <c r="AE38" s="11">
        <v>9159</v>
      </c>
      <c r="AF38" s="11">
        <v>202.26400000000001</v>
      </c>
      <c r="AG38" s="11">
        <v>548362</v>
      </c>
      <c r="AH38" s="11">
        <v>4631</v>
      </c>
      <c r="AI38" s="11">
        <v>0</v>
      </c>
      <c r="AJ38" s="11">
        <v>0.51400000000000001</v>
      </c>
      <c r="AK38" s="11">
        <v>1413</v>
      </c>
      <c r="AL38" s="11">
        <v>1</v>
      </c>
      <c r="AM38" s="11">
        <v>539955</v>
      </c>
      <c r="AN38" s="11">
        <v>583390</v>
      </c>
      <c r="AO38" s="11">
        <v>108.044</v>
      </c>
      <c r="AP38" s="11">
        <v>100</v>
      </c>
      <c r="AQ38" s="11">
        <v>13</v>
      </c>
      <c r="AR38" s="11">
        <v>1</v>
      </c>
      <c r="AS38" s="11">
        <v>1</v>
      </c>
      <c r="AT38" s="11">
        <v>548362</v>
      </c>
      <c r="AU38" s="11">
        <v>101.736</v>
      </c>
      <c r="AV38" s="11">
        <v>15079.951999999999</v>
      </c>
      <c r="AW38" s="11" t="s">
        <v>103</v>
      </c>
      <c r="AX38" s="11">
        <v>0</v>
      </c>
      <c r="AY38" s="11" t="s">
        <v>130</v>
      </c>
      <c r="AZ38" s="11">
        <v>0</v>
      </c>
      <c r="BA38" s="11" t="s">
        <v>123</v>
      </c>
      <c r="BB38" s="11">
        <v>15856</v>
      </c>
      <c r="BC38" s="11">
        <v>14944</v>
      </c>
      <c r="BD38" s="11">
        <v>94.248999999999995</v>
      </c>
      <c r="BE38" s="11">
        <v>116</v>
      </c>
      <c r="BF38" s="11">
        <v>104</v>
      </c>
      <c r="BG38" s="11">
        <v>89.171000000000006</v>
      </c>
      <c r="BH38" s="11">
        <v>0</v>
      </c>
      <c r="BI38" s="11">
        <v>0</v>
      </c>
      <c r="BJ38" s="11" t="s">
        <v>211</v>
      </c>
      <c r="BK38" s="11">
        <v>292952</v>
      </c>
      <c r="BL38" s="11">
        <v>311485</v>
      </c>
      <c r="BM38" s="11">
        <v>106.32599999999999</v>
      </c>
      <c r="BN38" s="11">
        <v>46416</v>
      </c>
      <c r="BO38" s="11">
        <v>79132</v>
      </c>
      <c r="BP38" s="11">
        <v>170.48400000000001</v>
      </c>
      <c r="BQ38" s="11">
        <v>1</v>
      </c>
      <c r="BR38" s="11">
        <v>1250</v>
      </c>
      <c r="BS38" s="11" t="s">
        <v>103</v>
      </c>
      <c r="BT38" s="11">
        <v>130930</v>
      </c>
      <c r="BU38" s="11">
        <v>95780</v>
      </c>
      <c r="BV38" s="11">
        <v>73.153999999999996</v>
      </c>
      <c r="BW38" s="11">
        <v>0</v>
      </c>
      <c r="BX38" s="11">
        <v>143064</v>
      </c>
      <c r="BY38" s="11">
        <v>127575</v>
      </c>
      <c r="BZ38" s="11">
        <v>89.173000000000002</v>
      </c>
      <c r="CA38" s="11">
        <v>127575</v>
      </c>
      <c r="CB38" s="11">
        <v>89.173000000000002</v>
      </c>
      <c r="CC38" s="11">
        <v>0</v>
      </c>
      <c r="CD38" s="11">
        <v>0</v>
      </c>
      <c r="CE38" s="11" t="s">
        <v>140</v>
      </c>
      <c r="CF38" s="11">
        <v>30694</v>
      </c>
      <c r="CG38" s="11">
        <v>94529</v>
      </c>
      <c r="CH38" s="11">
        <v>307.97199999999998</v>
      </c>
      <c r="CI38" s="11">
        <v>8272</v>
      </c>
      <c r="CJ38" s="11">
        <v>0</v>
      </c>
      <c r="CK38" s="11">
        <v>0</v>
      </c>
      <c r="CL38" s="11">
        <v>1</v>
      </c>
      <c r="CM38" s="11">
        <v>0</v>
      </c>
      <c r="CN38" s="11" t="s">
        <v>153</v>
      </c>
      <c r="CO38" s="11">
        <v>16329.951999999999</v>
      </c>
      <c r="CQ38">
        <f>SUMIFS([1]Working!$DC:$DC,[1]Working!$E:$E,H38)</f>
        <v>16329.95182292499</v>
      </c>
      <c r="CR38">
        <f t="shared" si="0"/>
        <v>1.7707500956021249E-4</v>
      </c>
    </row>
    <row r="39" spans="1:96" x14ac:dyDescent="0.35">
      <c r="A39" s="9" t="s">
        <v>93</v>
      </c>
      <c r="B39" s="9" t="s">
        <v>94</v>
      </c>
      <c r="C39" s="9">
        <v>92</v>
      </c>
      <c r="D39" s="9" t="s">
        <v>95</v>
      </c>
      <c r="E39" s="9" t="s">
        <v>258</v>
      </c>
      <c r="F39" s="9" t="s">
        <v>253</v>
      </c>
      <c r="G39" s="9" t="s">
        <v>275</v>
      </c>
      <c r="H39" s="9" t="s">
        <v>276</v>
      </c>
      <c r="I39" s="9" t="s">
        <v>277</v>
      </c>
      <c r="J39" s="9" t="s">
        <v>121</v>
      </c>
      <c r="K39" s="10">
        <v>45132</v>
      </c>
      <c r="L39" s="9" t="s">
        <v>256</v>
      </c>
      <c r="M39" s="9" t="s">
        <v>278</v>
      </c>
      <c r="N39" s="9"/>
      <c r="O39" s="9">
        <v>1</v>
      </c>
      <c r="P39" s="11" t="s">
        <v>101</v>
      </c>
      <c r="Q39" s="11" t="s">
        <v>102</v>
      </c>
      <c r="R39" s="11">
        <v>229924</v>
      </c>
      <c r="S39" s="11">
        <v>248368</v>
      </c>
      <c r="T39" s="11">
        <v>108.02200000000001</v>
      </c>
      <c r="U39" s="11">
        <v>244520</v>
      </c>
      <c r="V39" s="11">
        <v>106.348</v>
      </c>
      <c r="W39" s="11">
        <v>97050</v>
      </c>
      <c r="X39" s="11">
        <v>0</v>
      </c>
      <c r="Y39" s="11">
        <v>0</v>
      </c>
      <c r="Z39" s="11">
        <v>42.21</v>
      </c>
      <c r="AA39" s="11">
        <v>18277</v>
      </c>
      <c r="AB39" s="11">
        <v>0</v>
      </c>
      <c r="AC39" s="11">
        <v>0</v>
      </c>
      <c r="AD39" s="11">
        <v>6460</v>
      </c>
      <c r="AE39" s="11">
        <v>5550</v>
      </c>
      <c r="AF39" s="11">
        <v>85.912000000000006</v>
      </c>
      <c r="AG39" s="11">
        <v>244510</v>
      </c>
      <c r="AH39" s="11">
        <v>0</v>
      </c>
      <c r="AI39" s="11">
        <v>0</v>
      </c>
      <c r="AJ39" s="11">
        <v>0</v>
      </c>
      <c r="AK39" s="11">
        <v>0</v>
      </c>
      <c r="AL39" s="11">
        <v>1</v>
      </c>
      <c r="AM39" s="11">
        <v>247404</v>
      </c>
      <c r="AN39" s="11">
        <v>256700</v>
      </c>
      <c r="AO39" s="11">
        <v>103.758</v>
      </c>
      <c r="AP39" s="11">
        <v>97</v>
      </c>
      <c r="AQ39" s="11">
        <v>6</v>
      </c>
      <c r="AR39" s="11">
        <v>0.9</v>
      </c>
      <c r="AS39" s="11">
        <v>1</v>
      </c>
      <c r="AT39" s="11">
        <v>241420</v>
      </c>
      <c r="AU39" s="11">
        <v>105</v>
      </c>
      <c r="AV39" s="11">
        <v>6759.7719999999999</v>
      </c>
      <c r="AW39" s="11" t="s">
        <v>103</v>
      </c>
      <c r="AX39" s="11">
        <v>1500</v>
      </c>
      <c r="AY39" s="11" t="s">
        <v>103</v>
      </c>
      <c r="AZ39" s="11">
        <v>0</v>
      </c>
      <c r="BA39" s="11" t="s">
        <v>123</v>
      </c>
      <c r="BB39" s="11">
        <v>23908</v>
      </c>
      <c r="BC39" s="11">
        <v>46202</v>
      </c>
      <c r="BD39" s="11">
        <v>193.24299999999999</v>
      </c>
      <c r="BE39" s="11">
        <v>175</v>
      </c>
      <c r="BF39" s="11">
        <v>320</v>
      </c>
      <c r="BG39" s="11">
        <v>182.79400000000001</v>
      </c>
      <c r="BH39" s="11">
        <v>1</v>
      </c>
      <c r="BI39" s="11">
        <v>2000</v>
      </c>
      <c r="BJ39" s="11" t="s">
        <v>103</v>
      </c>
      <c r="BK39" s="11">
        <v>87206</v>
      </c>
      <c r="BL39" s="11">
        <v>160699</v>
      </c>
      <c r="BM39" s="11">
        <v>184.27500000000001</v>
      </c>
      <c r="BN39" s="11">
        <v>14954</v>
      </c>
      <c r="BO39" s="11">
        <v>56858</v>
      </c>
      <c r="BP39" s="11">
        <v>380.22899999999998</v>
      </c>
      <c r="BQ39" s="11">
        <v>1</v>
      </c>
      <c r="BR39" s="11">
        <v>1250</v>
      </c>
      <c r="BS39" s="11" t="s">
        <v>103</v>
      </c>
      <c r="BT39" s="11">
        <v>5374</v>
      </c>
      <c r="BU39" s="11">
        <v>9770</v>
      </c>
      <c r="BV39" s="11">
        <v>181.78200000000001</v>
      </c>
      <c r="BW39" s="11">
        <v>3858</v>
      </c>
      <c r="BX39" s="11">
        <v>14796</v>
      </c>
      <c r="BY39" s="11">
        <v>18530</v>
      </c>
      <c r="BZ39" s="11">
        <v>125.236</v>
      </c>
      <c r="CA39" s="11">
        <v>14672</v>
      </c>
      <c r="CB39" s="11">
        <v>99.162000000000006</v>
      </c>
      <c r="CC39" s="11">
        <v>0</v>
      </c>
      <c r="CD39" s="11">
        <v>0</v>
      </c>
      <c r="CE39" s="11" t="s">
        <v>140</v>
      </c>
      <c r="CF39" s="11">
        <v>15271</v>
      </c>
      <c r="CG39" s="11">
        <v>42968</v>
      </c>
      <c r="CH39" s="11">
        <v>281.36500000000001</v>
      </c>
      <c r="CI39" s="11">
        <v>8272</v>
      </c>
      <c r="CJ39" s="11">
        <v>0</v>
      </c>
      <c r="CK39" s="11">
        <v>0</v>
      </c>
      <c r="CL39" s="11">
        <v>1</v>
      </c>
      <c r="CM39" s="11">
        <v>0</v>
      </c>
      <c r="CN39" s="11" t="s">
        <v>153</v>
      </c>
      <c r="CO39" s="11">
        <v>11509.772000000001</v>
      </c>
      <c r="CQ39">
        <f>SUMIFS([1]Working!$DC:$DC,[1]Working!$E:$E,H39)</f>
        <v>11509.771642876007</v>
      </c>
      <c r="CR39">
        <f t="shared" si="0"/>
        <v>3.5712399403564632E-4</v>
      </c>
    </row>
    <row r="40" spans="1:96" x14ac:dyDescent="0.35">
      <c r="A40" s="9" t="s">
        <v>93</v>
      </c>
      <c r="B40" s="9" t="s">
        <v>94</v>
      </c>
      <c r="C40" s="9">
        <v>92</v>
      </c>
      <c r="D40" s="9" t="s">
        <v>95</v>
      </c>
      <c r="E40" s="9" t="s">
        <v>258</v>
      </c>
      <c r="F40" s="9" t="s">
        <v>253</v>
      </c>
      <c r="G40" s="9" t="s">
        <v>279</v>
      </c>
      <c r="H40" s="9" t="s">
        <v>280</v>
      </c>
      <c r="I40" s="9" t="s">
        <v>281</v>
      </c>
      <c r="J40" s="9" t="s">
        <v>121</v>
      </c>
      <c r="K40" s="10">
        <v>42570</v>
      </c>
      <c r="L40" s="9" t="s">
        <v>256</v>
      </c>
      <c r="M40" s="9" t="s">
        <v>282</v>
      </c>
      <c r="N40" s="9"/>
      <c r="O40" s="9">
        <v>1</v>
      </c>
      <c r="P40" s="11" t="s">
        <v>101</v>
      </c>
      <c r="Q40" s="11" t="s">
        <v>102</v>
      </c>
      <c r="R40" s="11">
        <v>563242</v>
      </c>
      <c r="S40" s="11">
        <v>614403</v>
      </c>
      <c r="T40" s="11">
        <v>109.083</v>
      </c>
      <c r="U40" s="11">
        <v>647224</v>
      </c>
      <c r="V40" s="11">
        <v>114.91</v>
      </c>
      <c r="W40" s="11">
        <v>403806</v>
      </c>
      <c r="X40" s="11">
        <v>2099</v>
      </c>
      <c r="Y40" s="11">
        <v>0</v>
      </c>
      <c r="Z40" s="11">
        <v>71.692999999999998</v>
      </c>
      <c r="AA40" s="11">
        <v>25512</v>
      </c>
      <c r="AB40" s="11">
        <v>213666</v>
      </c>
      <c r="AC40" s="11">
        <v>837.52</v>
      </c>
      <c r="AD40" s="11">
        <v>733</v>
      </c>
      <c r="AE40" s="11">
        <v>340</v>
      </c>
      <c r="AF40" s="11">
        <v>46.34</v>
      </c>
      <c r="AG40" s="11">
        <v>598483</v>
      </c>
      <c r="AH40" s="11">
        <v>0</v>
      </c>
      <c r="AI40" s="11">
        <v>0</v>
      </c>
      <c r="AJ40" s="11">
        <v>0.35099999999999998</v>
      </c>
      <c r="AK40" s="11">
        <v>0</v>
      </c>
      <c r="AL40" s="11">
        <v>1</v>
      </c>
      <c r="AM40" s="11">
        <v>507862</v>
      </c>
      <c r="AN40" s="11">
        <v>563469</v>
      </c>
      <c r="AO40" s="11">
        <v>110.949</v>
      </c>
      <c r="AP40" s="11">
        <v>100</v>
      </c>
      <c r="AQ40" s="11">
        <v>11</v>
      </c>
      <c r="AR40" s="11">
        <v>1</v>
      </c>
      <c r="AS40" s="11">
        <v>1</v>
      </c>
      <c r="AT40" s="11">
        <v>591404</v>
      </c>
      <c r="AU40" s="11">
        <v>105</v>
      </c>
      <c r="AV40" s="11">
        <v>16559.321</v>
      </c>
      <c r="AW40" s="11" t="s">
        <v>103</v>
      </c>
      <c r="AX40" s="11">
        <v>1500</v>
      </c>
      <c r="AY40" s="11" t="s">
        <v>103</v>
      </c>
      <c r="AZ40" s="11">
        <v>0</v>
      </c>
      <c r="BA40" s="11" t="s">
        <v>123</v>
      </c>
      <c r="BB40" s="11">
        <v>12597</v>
      </c>
      <c r="BC40" s="11">
        <v>15049</v>
      </c>
      <c r="BD40" s="11">
        <v>119.47</v>
      </c>
      <c r="BE40" s="11">
        <v>93</v>
      </c>
      <c r="BF40" s="11">
        <v>105</v>
      </c>
      <c r="BG40" s="11">
        <v>112.755</v>
      </c>
      <c r="BH40" s="11">
        <v>1</v>
      </c>
      <c r="BI40" s="11">
        <v>1000</v>
      </c>
      <c r="BJ40" s="11" t="s">
        <v>103</v>
      </c>
      <c r="BK40" s="11">
        <v>247131</v>
      </c>
      <c r="BL40" s="11">
        <v>478202</v>
      </c>
      <c r="BM40" s="11">
        <v>193.501</v>
      </c>
      <c r="BN40" s="11">
        <v>39673</v>
      </c>
      <c r="BO40" s="11">
        <v>63461</v>
      </c>
      <c r="BP40" s="11">
        <v>159.96</v>
      </c>
      <c r="BQ40" s="11">
        <v>1</v>
      </c>
      <c r="BR40" s="11">
        <v>1250</v>
      </c>
      <c r="BS40" s="11" t="s">
        <v>103</v>
      </c>
      <c r="BT40" s="11">
        <v>114125</v>
      </c>
      <c r="BU40" s="11">
        <v>141458</v>
      </c>
      <c r="BV40" s="11">
        <v>123.949</v>
      </c>
      <c r="BW40" s="11">
        <v>15920</v>
      </c>
      <c r="BX40" s="11">
        <v>132659</v>
      </c>
      <c r="BY40" s="11">
        <v>158978</v>
      </c>
      <c r="BZ40" s="11">
        <v>119.839</v>
      </c>
      <c r="CA40" s="11">
        <v>143058</v>
      </c>
      <c r="CB40" s="11">
        <v>107.839</v>
      </c>
      <c r="CC40" s="11">
        <v>1</v>
      </c>
      <c r="CD40" s="11">
        <v>2500</v>
      </c>
      <c r="CE40" s="11" t="s">
        <v>103</v>
      </c>
      <c r="CF40" s="11">
        <v>36691</v>
      </c>
      <c r="CG40" s="11">
        <v>42968</v>
      </c>
      <c r="CH40" s="11">
        <v>117.108</v>
      </c>
      <c r="CI40" s="11">
        <v>8272</v>
      </c>
      <c r="CJ40" s="11">
        <v>0</v>
      </c>
      <c r="CK40" s="11">
        <v>0</v>
      </c>
      <c r="CL40" s="11">
        <v>1</v>
      </c>
      <c r="CM40" s="11">
        <v>0</v>
      </c>
      <c r="CN40" s="11" t="s">
        <v>153</v>
      </c>
      <c r="CO40" s="11">
        <v>22809.321</v>
      </c>
      <c r="CQ40">
        <f>SUMIFS([1]Working!$DC:$DC,[1]Working!$E:$E,H40)</f>
        <v>22809.32146380399</v>
      </c>
      <c r="CR40">
        <f t="shared" si="0"/>
        <v>-4.6380398998735473E-4</v>
      </c>
    </row>
    <row r="41" spans="1:96" x14ac:dyDescent="0.35">
      <c r="A41" s="9" t="s">
        <v>93</v>
      </c>
      <c r="B41" s="9" t="s">
        <v>94</v>
      </c>
      <c r="C41" s="9">
        <v>92</v>
      </c>
      <c r="D41" s="9" t="s">
        <v>95</v>
      </c>
      <c r="E41" s="9" t="s">
        <v>258</v>
      </c>
      <c r="F41" s="9" t="s">
        <v>253</v>
      </c>
      <c r="G41" s="9" t="s">
        <v>283</v>
      </c>
      <c r="H41" s="9" t="s">
        <v>284</v>
      </c>
      <c r="I41" s="9" t="s">
        <v>285</v>
      </c>
      <c r="J41" s="9" t="s">
        <v>121</v>
      </c>
      <c r="K41" s="10">
        <v>43773</v>
      </c>
      <c r="L41" s="9" t="s">
        <v>256</v>
      </c>
      <c r="M41" s="9" t="s">
        <v>286</v>
      </c>
      <c r="N41" s="9"/>
      <c r="O41" s="9">
        <v>1</v>
      </c>
      <c r="P41" s="11" t="s">
        <v>101</v>
      </c>
      <c r="Q41" s="11" t="s">
        <v>102</v>
      </c>
      <c r="R41" s="11">
        <v>357502</v>
      </c>
      <c r="S41" s="11">
        <v>447740</v>
      </c>
      <c r="T41" s="11">
        <v>125.241</v>
      </c>
      <c r="U41" s="11">
        <v>237673</v>
      </c>
      <c r="V41" s="11">
        <v>66.480999999999995</v>
      </c>
      <c r="W41" s="11">
        <v>59493</v>
      </c>
      <c r="X41" s="11">
        <v>539</v>
      </c>
      <c r="Y41" s="11">
        <v>0</v>
      </c>
      <c r="Z41" s="11">
        <v>16.640999999999998</v>
      </c>
      <c r="AA41" s="11">
        <v>20309</v>
      </c>
      <c r="AB41" s="11">
        <v>0</v>
      </c>
      <c r="AC41" s="11">
        <v>0</v>
      </c>
      <c r="AD41" s="11">
        <v>610</v>
      </c>
      <c r="AE41" s="11">
        <v>0</v>
      </c>
      <c r="AF41" s="11">
        <v>0</v>
      </c>
      <c r="AG41" s="11">
        <v>447740</v>
      </c>
      <c r="AH41" s="11">
        <v>0</v>
      </c>
      <c r="AI41" s="11">
        <v>0</v>
      </c>
      <c r="AJ41" s="11">
        <v>0.12</v>
      </c>
      <c r="AK41" s="11">
        <v>0</v>
      </c>
      <c r="AL41" s="11">
        <v>1</v>
      </c>
      <c r="AM41" s="11">
        <v>350096</v>
      </c>
      <c r="AN41" s="11">
        <v>367953</v>
      </c>
      <c r="AO41" s="11">
        <v>105.101</v>
      </c>
      <c r="AP41" s="11">
        <v>100</v>
      </c>
      <c r="AQ41" s="11">
        <v>6</v>
      </c>
      <c r="AR41" s="11">
        <v>0.9</v>
      </c>
      <c r="AS41" s="11">
        <v>1</v>
      </c>
      <c r="AT41" s="11">
        <v>375377</v>
      </c>
      <c r="AU41" s="11">
        <v>105</v>
      </c>
      <c r="AV41" s="11">
        <v>10510.558999999999</v>
      </c>
      <c r="AW41" s="11" t="s">
        <v>103</v>
      </c>
      <c r="AX41" s="11">
        <v>0</v>
      </c>
      <c r="AY41" s="11" t="s">
        <v>130</v>
      </c>
      <c r="AZ41" s="11">
        <v>0</v>
      </c>
      <c r="BA41" s="11" t="s">
        <v>123</v>
      </c>
      <c r="BB41" s="11">
        <v>11275</v>
      </c>
      <c r="BC41" s="11">
        <v>-125</v>
      </c>
      <c r="BD41" s="11">
        <v>-1.109</v>
      </c>
      <c r="BE41" s="11">
        <v>83</v>
      </c>
      <c r="BF41" s="11">
        <v>-1</v>
      </c>
      <c r="BG41" s="11">
        <v>-1.2</v>
      </c>
      <c r="BH41" s="11">
        <v>0</v>
      </c>
      <c r="BI41" s="11">
        <v>0</v>
      </c>
      <c r="BJ41" s="11" t="s">
        <v>211</v>
      </c>
      <c r="BK41" s="11">
        <v>153846</v>
      </c>
      <c r="BL41" s="11">
        <v>152963</v>
      </c>
      <c r="BM41" s="11">
        <v>99.426000000000002</v>
      </c>
      <c r="BN41" s="11">
        <v>25916</v>
      </c>
      <c r="BO41" s="11">
        <v>0</v>
      </c>
      <c r="BP41" s="11">
        <v>0</v>
      </c>
      <c r="BQ41" s="11">
        <v>0</v>
      </c>
      <c r="BR41" s="11">
        <v>0</v>
      </c>
      <c r="BS41" s="11" t="s">
        <v>197</v>
      </c>
      <c r="BT41" s="11">
        <v>54543</v>
      </c>
      <c r="BU41" s="11">
        <v>29309</v>
      </c>
      <c r="BV41" s="11">
        <v>53.734999999999999</v>
      </c>
      <c r="BW41" s="11">
        <v>0</v>
      </c>
      <c r="BX41" s="11">
        <v>66683</v>
      </c>
      <c r="BY41" s="11">
        <v>67152</v>
      </c>
      <c r="BZ41" s="11">
        <v>100.70399999999999</v>
      </c>
      <c r="CA41" s="11">
        <v>67152</v>
      </c>
      <c r="CB41" s="11">
        <v>100.70399999999999</v>
      </c>
      <c r="CC41" s="11">
        <v>1</v>
      </c>
      <c r="CD41" s="11">
        <v>2000</v>
      </c>
      <c r="CE41" s="11" t="s">
        <v>103</v>
      </c>
      <c r="CF41" s="11">
        <v>29664</v>
      </c>
      <c r="CG41" s="11">
        <v>85936</v>
      </c>
      <c r="CH41" s="11">
        <v>289.70100000000002</v>
      </c>
      <c r="CI41" s="11">
        <v>8272</v>
      </c>
      <c r="CJ41" s="11">
        <v>0</v>
      </c>
      <c r="CK41" s="11">
        <v>0</v>
      </c>
      <c r="CL41" s="11">
        <v>1</v>
      </c>
      <c r="CM41" s="11">
        <v>0</v>
      </c>
      <c r="CN41" s="11" t="s">
        <v>153</v>
      </c>
      <c r="CO41" s="11">
        <v>12510.558999999999</v>
      </c>
      <c r="CQ41">
        <f>SUMIFS([1]Working!$DC:$DC,[1]Working!$E:$E,H41)</f>
        <v>12510.55898228001</v>
      </c>
      <c r="CR41">
        <f t="shared" si="0"/>
        <v>1.7719989045872353E-5</v>
      </c>
    </row>
    <row r="42" spans="1:96" x14ac:dyDescent="0.35">
      <c r="A42" s="9" t="s">
        <v>93</v>
      </c>
      <c r="B42" s="9" t="s">
        <v>94</v>
      </c>
      <c r="C42" s="9">
        <v>92</v>
      </c>
      <c r="D42" s="9" t="s">
        <v>95</v>
      </c>
      <c r="E42" s="9" t="s">
        <v>258</v>
      </c>
      <c r="F42" s="9" t="s">
        <v>253</v>
      </c>
      <c r="G42" s="9" t="s">
        <v>287</v>
      </c>
      <c r="H42" s="9" t="s">
        <v>288</v>
      </c>
      <c r="I42" s="9" t="s">
        <v>289</v>
      </c>
      <c r="J42" s="9" t="s">
        <v>121</v>
      </c>
      <c r="K42" s="10">
        <v>44420</v>
      </c>
      <c r="L42" s="9" t="s">
        <v>256</v>
      </c>
      <c r="M42" s="9" t="s">
        <v>290</v>
      </c>
      <c r="N42" s="9"/>
      <c r="O42" s="9">
        <v>1</v>
      </c>
      <c r="P42" s="11" t="s">
        <v>101</v>
      </c>
      <c r="Q42" s="11" t="s">
        <v>102</v>
      </c>
      <c r="R42" s="11">
        <v>453450</v>
      </c>
      <c r="S42" s="11">
        <v>473245</v>
      </c>
      <c r="T42" s="11">
        <v>104.36499999999999</v>
      </c>
      <c r="U42" s="11">
        <v>460810</v>
      </c>
      <c r="V42" s="11">
        <v>101.623</v>
      </c>
      <c r="W42" s="11">
        <v>290858</v>
      </c>
      <c r="X42" s="11">
        <v>0</v>
      </c>
      <c r="Y42" s="11">
        <v>0</v>
      </c>
      <c r="Z42" s="11">
        <v>64.143000000000001</v>
      </c>
      <c r="AA42" s="11">
        <v>3098</v>
      </c>
      <c r="AB42" s="11">
        <v>0</v>
      </c>
      <c r="AC42" s="11">
        <v>0</v>
      </c>
      <c r="AD42" s="11">
        <v>2253</v>
      </c>
      <c r="AE42" s="11">
        <v>0</v>
      </c>
      <c r="AF42" s="11">
        <v>0</v>
      </c>
      <c r="AG42" s="11">
        <v>473245</v>
      </c>
      <c r="AH42" s="11">
        <v>0</v>
      </c>
      <c r="AI42" s="11">
        <v>0</v>
      </c>
      <c r="AJ42" s="11">
        <v>0</v>
      </c>
      <c r="AK42" s="11">
        <v>0</v>
      </c>
      <c r="AL42" s="11">
        <v>1</v>
      </c>
      <c r="AM42" s="11">
        <v>430043</v>
      </c>
      <c r="AN42" s="11">
        <v>537482</v>
      </c>
      <c r="AO42" s="11">
        <v>124.983</v>
      </c>
      <c r="AP42" s="11">
        <v>100</v>
      </c>
      <c r="AQ42" s="11">
        <v>10</v>
      </c>
      <c r="AR42" s="11">
        <v>1</v>
      </c>
      <c r="AS42" s="11">
        <v>1</v>
      </c>
      <c r="AT42" s="11">
        <v>473245</v>
      </c>
      <c r="AU42" s="11">
        <v>104.36499999999999</v>
      </c>
      <c r="AV42" s="11">
        <v>13014.225</v>
      </c>
      <c r="AW42" s="11" t="s">
        <v>103</v>
      </c>
      <c r="AX42" s="11">
        <v>1500</v>
      </c>
      <c r="AY42" s="11" t="s">
        <v>103</v>
      </c>
      <c r="AZ42" s="11">
        <v>0</v>
      </c>
      <c r="BA42" s="11" t="s">
        <v>123</v>
      </c>
      <c r="BB42" s="11">
        <v>9765</v>
      </c>
      <c r="BC42" s="11">
        <v>15180</v>
      </c>
      <c r="BD42" s="11">
        <v>155.46100000000001</v>
      </c>
      <c r="BE42" s="11">
        <v>72</v>
      </c>
      <c r="BF42" s="11">
        <v>106</v>
      </c>
      <c r="BG42" s="11">
        <v>146.87200000000001</v>
      </c>
      <c r="BH42" s="11">
        <v>1</v>
      </c>
      <c r="BI42" s="11">
        <v>1000</v>
      </c>
      <c r="BJ42" s="11" t="s">
        <v>103</v>
      </c>
      <c r="BK42" s="11">
        <v>197503</v>
      </c>
      <c r="BL42" s="11">
        <v>260588</v>
      </c>
      <c r="BM42" s="11">
        <v>131.941</v>
      </c>
      <c r="BN42" s="11">
        <v>61164</v>
      </c>
      <c r="BO42" s="11">
        <v>147607</v>
      </c>
      <c r="BP42" s="11">
        <v>241.33199999999999</v>
      </c>
      <c r="BQ42" s="11">
        <v>1</v>
      </c>
      <c r="BR42" s="11">
        <v>1250</v>
      </c>
      <c r="BS42" s="11" t="s">
        <v>103</v>
      </c>
      <c r="BT42" s="11">
        <v>87542</v>
      </c>
      <c r="BU42" s="11">
        <v>73272</v>
      </c>
      <c r="BV42" s="11">
        <v>83.698999999999998</v>
      </c>
      <c r="BW42" s="11">
        <v>0</v>
      </c>
      <c r="BX42" s="11">
        <v>105360</v>
      </c>
      <c r="BY42" s="11">
        <v>97800</v>
      </c>
      <c r="BZ42" s="11">
        <v>92.825000000000003</v>
      </c>
      <c r="CA42" s="11">
        <v>97800</v>
      </c>
      <c r="CB42" s="11">
        <v>92.825000000000003</v>
      </c>
      <c r="CC42" s="11">
        <v>0</v>
      </c>
      <c r="CD42" s="11">
        <v>0</v>
      </c>
      <c r="CE42" s="11" t="s">
        <v>140</v>
      </c>
      <c r="CF42" s="11">
        <v>18117</v>
      </c>
      <c r="CG42" s="11">
        <v>0</v>
      </c>
      <c r="CH42" s="11">
        <v>0</v>
      </c>
      <c r="CI42" s="11">
        <v>8272</v>
      </c>
      <c r="CJ42" s="11">
        <v>0</v>
      </c>
      <c r="CK42" s="11">
        <v>0</v>
      </c>
      <c r="CL42" s="11">
        <v>0</v>
      </c>
      <c r="CM42" s="11">
        <v>0</v>
      </c>
      <c r="CN42" s="11" t="s">
        <v>124</v>
      </c>
      <c r="CO42" s="11">
        <v>16764.224999999999</v>
      </c>
      <c r="CQ42">
        <f>SUMIFS([1]Working!$DC:$DC,[1]Working!$E:$E,H42)</f>
        <v>16764.224574999989</v>
      </c>
      <c r="CR42">
        <f t="shared" si="0"/>
        <v>4.2500000927248038E-4</v>
      </c>
    </row>
    <row r="43" spans="1:96" x14ac:dyDescent="0.35">
      <c r="A43" s="9" t="s">
        <v>93</v>
      </c>
      <c r="B43" s="9" t="s">
        <v>94</v>
      </c>
      <c r="C43" s="9">
        <v>92</v>
      </c>
      <c r="D43" s="9" t="s">
        <v>95</v>
      </c>
      <c r="E43" s="9" t="s">
        <v>258</v>
      </c>
      <c r="F43" s="9" t="s">
        <v>253</v>
      </c>
      <c r="G43" s="9" t="s">
        <v>291</v>
      </c>
      <c r="H43" s="9" t="s">
        <v>292</v>
      </c>
      <c r="I43" s="9" t="s">
        <v>293</v>
      </c>
      <c r="J43" s="9" t="s">
        <v>121</v>
      </c>
      <c r="K43" s="10">
        <v>43087</v>
      </c>
      <c r="L43" s="9" t="s">
        <v>256</v>
      </c>
      <c r="M43" s="9" t="s">
        <v>294</v>
      </c>
      <c r="N43" s="9"/>
      <c r="O43" s="9">
        <v>1</v>
      </c>
      <c r="P43" s="11" t="s">
        <v>101</v>
      </c>
      <c r="Q43" s="11" t="s">
        <v>102</v>
      </c>
      <c r="R43" s="11">
        <v>687900</v>
      </c>
      <c r="S43" s="11">
        <v>702612</v>
      </c>
      <c r="T43" s="11">
        <v>102.139</v>
      </c>
      <c r="U43" s="11">
        <v>679299</v>
      </c>
      <c r="V43" s="11">
        <v>98.75</v>
      </c>
      <c r="W43" s="11">
        <v>328542</v>
      </c>
      <c r="X43" s="11">
        <v>2285</v>
      </c>
      <c r="Y43" s="11">
        <v>0</v>
      </c>
      <c r="Z43" s="11">
        <v>47.76</v>
      </c>
      <c r="AA43" s="11">
        <v>98763</v>
      </c>
      <c r="AB43" s="11">
        <v>198350</v>
      </c>
      <c r="AC43" s="11">
        <v>200.834</v>
      </c>
      <c r="AD43" s="11">
        <v>3456</v>
      </c>
      <c r="AE43" s="11">
        <v>5135</v>
      </c>
      <c r="AF43" s="11">
        <v>148.595</v>
      </c>
      <c r="AG43" s="11">
        <v>702612</v>
      </c>
      <c r="AH43" s="11">
        <v>0</v>
      </c>
      <c r="AI43" s="11">
        <v>0</v>
      </c>
      <c r="AJ43" s="11">
        <v>0.32500000000000001</v>
      </c>
      <c r="AK43" s="11">
        <v>0</v>
      </c>
      <c r="AL43" s="11">
        <v>1</v>
      </c>
      <c r="AM43" s="11">
        <v>747596</v>
      </c>
      <c r="AN43" s="11">
        <v>797069</v>
      </c>
      <c r="AO43" s="11">
        <v>106.61799999999999</v>
      </c>
      <c r="AP43" s="11">
        <v>100</v>
      </c>
      <c r="AQ43" s="11">
        <v>12</v>
      </c>
      <c r="AR43" s="11">
        <v>1</v>
      </c>
      <c r="AS43" s="11">
        <v>1</v>
      </c>
      <c r="AT43" s="11">
        <v>702612</v>
      </c>
      <c r="AU43" s="11">
        <v>102.139</v>
      </c>
      <c r="AV43" s="11">
        <v>19321.839</v>
      </c>
      <c r="AW43" s="11" t="s">
        <v>103</v>
      </c>
      <c r="AX43" s="11">
        <v>1500</v>
      </c>
      <c r="AY43" s="11" t="s">
        <v>103</v>
      </c>
      <c r="AZ43" s="11">
        <v>0</v>
      </c>
      <c r="BA43" s="11" t="s">
        <v>123</v>
      </c>
      <c r="BB43" s="11">
        <v>64619</v>
      </c>
      <c r="BC43" s="11">
        <v>125960</v>
      </c>
      <c r="BD43" s="11">
        <v>194.929</v>
      </c>
      <c r="BE43" s="11">
        <v>475</v>
      </c>
      <c r="BF43" s="11">
        <v>896</v>
      </c>
      <c r="BG43" s="11">
        <v>188.411</v>
      </c>
      <c r="BH43" s="11">
        <v>1</v>
      </c>
      <c r="BI43" s="11">
        <v>2750</v>
      </c>
      <c r="BJ43" s="11" t="s">
        <v>103</v>
      </c>
      <c r="BK43" s="11">
        <v>325733</v>
      </c>
      <c r="BL43" s="11">
        <v>469002</v>
      </c>
      <c r="BM43" s="11">
        <v>143.98400000000001</v>
      </c>
      <c r="BN43" s="11">
        <v>21694</v>
      </c>
      <c r="BO43" s="11">
        <v>37933</v>
      </c>
      <c r="BP43" s="11">
        <v>174.85599999999999</v>
      </c>
      <c r="BQ43" s="11">
        <v>1</v>
      </c>
      <c r="BR43" s="11">
        <v>1250</v>
      </c>
      <c r="BS43" s="11" t="s">
        <v>103</v>
      </c>
      <c r="BT43" s="11">
        <v>88074</v>
      </c>
      <c r="BU43" s="11">
        <v>58618</v>
      </c>
      <c r="BV43" s="11">
        <v>66.555000000000007</v>
      </c>
      <c r="BW43" s="11">
        <v>0</v>
      </c>
      <c r="BX43" s="11">
        <v>95822</v>
      </c>
      <c r="BY43" s="11">
        <v>60370</v>
      </c>
      <c r="BZ43" s="11">
        <v>63.002000000000002</v>
      </c>
      <c r="CA43" s="11">
        <v>60370</v>
      </c>
      <c r="CB43" s="11">
        <v>63.002000000000002</v>
      </c>
      <c r="CC43" s="11">
        <v>0</v>
      </c>
      <c r="CD43" s="11">
        <v>0</v>
      </c>
      <c r="CE43" s="11" t="s">
        <v>140</v>
      </c>
      <c r="CF43" s="11">
        <v>44835</v>
      </c>
      <c r="CG43" s="11">
        <v>46389</v>
      </c>
      <c r="CH43" s="11">
        <v>103.465</v>
      </c>
      <c r="CI43" s="11">
        <v>8272</v>
      </c>
      <c r="CJ43" s="11">
        <v>0</v>
      </c>
      <c r="CK43" s="11">
        <v>0</v>
      </c>
      <c r="CL43" s="11">
        <v>1</v>
      </c>
      <c r="CM43" s="11">
        <v>0</v>
      </c>
      <c r="CN43" s="11" t="s">
        <v>153</v>
      </c>
      <c r="CO43" s="11">
        <v>24821.839</v>
      </c>
      <c r="CQ43">
        <f>SUMIFS([1]Working!$DC:$DC,[1]Working!$E:$E,H43)</f>
        <v>24821.838799999994</v>
      </c>
      <c r="CR43">
        <f t="shared" si="0"/>
        <v>2.0000000586151145E-4</v>
      </c>
    </row>
    <row r="44" spans="1:96" x14ac:dyDescent="0.35">
      <c r="A44" s="9" t="s">
        <v>93</v>
      </c>
      <c r="B44" s="9" t="s">
        <v>94</v>
      </c>
      <c r="C44" s="9">
        <v>92</v>
      </c>
      <c r="D44" s="9" t="s">
        <v>95</v>
      </c>
      <c r="E44" s="9" t="s">
        <v>258</v>
      </c>
      <c r="F44" s="9" t="s">
        <v>253</v>
      </c>
      <c r="G44" s="9" t="s">
        <v>295</v>
      </c>
      <c r="H44" s="9" t="s">
        <v>296</v>
      </c>
      <c r="I44" s="9" t="s">
        <v>297</v>
      </c>
      <c r="J44" s="9" t="s">
        <v>121</v>
      </c>
      <c r="K44" s="10">
        <v>45021</v>
      </c>
      <c r="L44" s="9" t="s">
        <v>256</v>
      </c>
      <c r="M44" s="9" t="s">
        <v>298</v>
      </c>
      <c r="N44" s="9"/>
      <c r="O44" s="9">
        <v>1</v>
      </c>
      <c r="P44" s="11" t="s">
        <v>101</v>
      </c>
      <c r="Q44" s="11" t="s">
        <v>102</v>
      </c>
      <c r="R44" s="11">
        <v>432993</v>
      </c>
      <c r="S44" s="11">
        <v>450761</v>
      </c>
      <c r="T44" s="11">
        <v>104.104</v>
      </c>
      <c r="U44" s="11">
        <v>410809</v>
      </c>
      <c r="V44" s="11">
        <v>94.876999999999995</v>
      </c>
      <c r="W44" s="11">
        <v>338186</v>
      </c>
      <c r="X44" s="11">
        <v>7133</v>
      </c>
      <c r="Y44" s="11">
        <v>0</v>
      </c>
      <c r="Z44" s="11">
        <v>78.103999999999999</v>
      </c>
      <c r="AA44" s="11">
        <v>43311</v>
      </c>
      <c r="AB44" s="11">
        <v>-2783</v>
      </c>
      <c r="AC44" s="11">
        <v>-6.4249999999999998</v>
      </c>
      <c r="AD44" s="11">
        <v>2739</v>
      </c>
      <c r="AE44" s="11">
        <v>0</v>
      </c>
      <c r="AF44" s="11">
        <v>0</v>
      </c>
      <c r="AG44" s="11">
        <v>447194</v>
      </c>
      <c r="AH44" s="11">
        <v>0</v>
      </c>
      <c r="AI44" s="11">
        <v>0</v>
      </c>
      <c r="AJ44" s="11">
        <v>1.583</v>
      </c>
      <c r="AK44" s="11">
        <v>3567</v>
      </c>
      <c r="AL44" s="11">
        <v>1</v>
      </c>
      <c r="AM44" s="11">
        <v>437203</v>
      </c>
      <c r="AN44" s="11">
        <v>473444</v>
      </c>
      <c r="AO44" s="11">
        <v>108.289</v>
      </c>
      <c r="AP44" s="11">
        <v>98</v>
      </c>
      <c r="AQ44" s="11">
        <v>4</v>
      </c>
      <c r="AR44" s="11">
        <v>0.9</v>
      </c>
      <c r="AS44" s="11">
        <v>1</v>
      </c>
      <c r="AT44" s="11">
        <v>447194</v>
      </c>
      <c r="AU44" s="11">
        <v>103.28</v>
      </c>
      <c r="AV44" s="11">
        <v>12297.843000000001</v>
      </c>
      <c r="AW44" s="11" t="s">
        <v>103</v>
      </c>
      <c r="AX44" s="11">
        <v>1500</v>
      </c>
      <c r="AY44" s="11" t="s">
        <v>103</v>
      </c>
      <c r="AZ44" s="11">
        <v>0</v>
      </c>
      <c r="BA44" s="11" t="s">
        <v>123</v>
      </c>
      <c r="BB44" s="11">
        <v>16560</v>
      </c>
      <c r="BC44" s="11">
        <v>17326</v>
      </c>
      <c r="BD44" s="11">
        <v>104.626</v>
      </c>
      <c r="BE44" s="11">
        <v>121</v>
      </c>
      <c r="BF44" s="11">
        <v>120</v>
      </c>
      <c r="BG44" s="11">
        <v>98.926000000000002</v>
      </c>
      <c r="BH44" s="11">
        <v>0</v>
      </c>
      <c r="BI44" s="11">
        <v>0</v>
      </c>
      <c r="BJ44" s="11" t="s">
        <v>299</v>
      </c>
      <c r="BK44" s="11">
        <v>264091</v>
      </c>
      <c r="BL44" s="11">
        <v>249632</v>
      </c>
      <c r="BM44" s="11">
        <v>94.525000000000006</v>
      </c>
      <c r="BN44" s="11">
        <v>51745</v>
      </c>
      <c r="BO44" s="11">
        <v>58432</v>
      </c>
      <c r="BP44" s="11">
        <v>112.925</v>
      </c>
      <c r="BQ44" s="11">
        <v>1</v>
      </c>
      <c r="BR44" s="11">
        <v>1250</v>
      </c>
      <c r="BS44" s="11" t="s">
        <v>103</v>
      </c>
      <c r="BT44" s="11">
        <v>108007</v>
      </c>
      <c r="BU44" s="11">
        <v>118335</v>
      </c>
      <c r="BV44" s="11">
        <v>109.562</v>
      </c>
      <c r="BW44" s="11">
        <v>0</v>
      </c>
      <c r="BX44" s="11">
        <v>119028</v>
      </c>
      <c r="BY44" s="11">
        <v>134103</v>
      </c>
      <c r="BZ44" s="11">
        <v>112.666</v>
      </c>
      <c r="CA44" s="11">
        <v>134103</v>
      </c>
      <c r="CB44" s="11">
        <v>112.666</v>
      </c>
      <c r="CC44" s="11">
        <v>1</v>
      </c>
      <c r="CD44" s="11">
        <v>2500</v>
      </c>
      <c r="CE44" s="11" t="s">
        <v>103</v>
      </c>
      <c r="CF44" s="11">
        <v>33448</v>
      </c>
      <c r="CG44" s="11">
        <v>42554</v>
      </c>
      <c r="CH44" s="11">
        <v>127.22199999999999</v>
      </c>
      <c r="CI44" s="11">
        <v>8272</v>
      </c>
      <c r="CJ44" s="11">
        <v>0</v>
      </c>
      <c r="CK44" s="11">
        <v>0</v>
      </c>
      <c r="CL44" s="11">
        <v>1</v>
      </c>
      <c r="CM44" s="11">
        <v>0</v>
      </c>
      <c r="CN44" s="11" t="s">
        <v>153</v>
      </c>
      <c r="CO44" s="11">
        <v>17547.843000000001</v>
      </c>
      <c r="CQ44">
        <f>SUMIFS([1]Working!$DC:$DC,[1]Working!$E:$E,H44)</f>
        <v>17547.8428375</v>
      </c>
      <c r="CR44">
        <f t="shared" si="0"/>
        <v>1.6250000044237822E-4</v>
      </c>
    </row>
    <row r="45" spans="1:96" x14ac:dyDescent="0.35">
      <c r="A45" s="6" t="s">
        <v>93</v>
      </c>
      <c r="B45" s="6" t="s">
        <v>94</v>
      </c>
      <c r="C45" s="6">
        <v>92</v>
      </c>
      <c r="D45" s="6" t="s">
        <v>95</v>
      </c>
      <c r="E45" s="6" t="s">
        <v>300</v>
      </c>
      <c r="F45" s="6" t="s">
        <v>253</v>
      </c>
      <c r="G45" s="6" t="s">
        <v>300</v>
      </c>
      <c r="H45" s="6" t="s">
        <v>301</v>
      </c>
      <c r="I45" s="6" t="s">
        <v>302</v>
      </c>
      <c r="J45" s="6" t="s">
        <v>110</v>
      </c>
      <c r="K45" s="7">
        <v>40812</v>
      </c>
      <c r="L45" s="6" t="s">
        <v>256</v>
      </c>
      <c r="M45" s="6" t="s">
        <v>256</v>
      </c>
      <c r="N45" s="6"/>
      <c r="O45" s="6">
        <v>10</v>
      </c>
      <c r="P45" s="8" t="s">
        <v>101</v>
      </c>
      <c r="Q45" s="8" t="s">
        <v>102</v>
      </c>
      <c r="R45" s="8">
        <v>4975433</v>
      </c>
      <c r="S45" s="8">
        <v>4147524</v>
      </c>
      <c r="T45" s="8">
        <v>83.36</v>
      </c>
      <c r="U45" s="8">
        <v>4421688</v>
      </c>
      <c r="V45" s="8">
        <v>88.87</v>
      </c>
      <c r="W45" s="8">
        <v>1507570</v>
      </c>
      <c r="X45" s="8">
        <v>42436</v>
      </c>
      <c r="Y45" s="8">
        <v>956788</v>
      </c>
      <c r="Z45" s="8">
        <v>30.3</v>
      </c>
      <c r="AA45" s="8">
        <v>144919</v>
      </c>
      <c r="AB45" s="8">
        <v>91711</v>
      </c>
      <c r="AC45" s="8">
        <v>63.283999999999999</v>
      </c>
      <c r="AD45" s="8">
        <v>132304</v>
      </c>
      <c r="AE45" s="8">
        <v>150009</v>
      </c>
      <c r="AF45" s="8">
        <v>113.38200000000001</v>
      </c>
      <c r="AG45" s="8">
        <v>4108600</v>
      </c>
      <c r="AH45" s="8">
        <v>17705</v>
      </c>
      <c r="AI45" s="8">
        <v>23.167999999999999</v>
      </c>
      <c r="AJ45" s="8">
        <v>1.028</v>
      </c>
      <c r="AK45" s="8">
        <v>21218</v>
      </c>
      <c r="AL45" s="8">
        <v>5</v>
      </c>
      <c r="AM45" s="8">
        <v>5101049</v>
      </c>
      <c r="AN45" s="8">
        <v>4312348</v>
      </c>
      <c r="AO45" s="8">
        <v>84.537999999999997</v>
      </c>
      <c r="AP45" s="8">
        <v>0</v>
      </c>
      <c r="AQ45" s="8">
        <v>0</v>
      </c>
      <c r="AR45" s="8"/>
      <c r="AS45" s="8"/>
      <c r="AT45" s="8">
        <v>4108600</v>
      </c>
      <c r="AU45" s="8">
        <v>82.578000000000003</v>
      </c>
      <c r="AV45" s="8">
        <v>0</v>
      </c>
      <c r="AW45" s="8" t="s">
        <v>112</v>
      </c>
      <c r="AX45" s="8">
        <v>0</v>
      </c>
      <c r="AY45" s="8" t="s">
        <v>158</v>
      </c>
      <c r="AZ45" s="8">
        <v>0</v>
      </c>
      <c r="BA45" s="8" t="s">
        <v>105</v>
      </c>
      <c r="BB45" s="8">
        <v>274029</v>
      </c>
      <c r="BC45" s="8">
        <v>264897</v>
      </c>
      <c r="BD45" s="8">
        <v>96.667000000000002</v>
      </c>
      <c r="BE45" s="8">
        <v>2014</v>
      </c>
      <c r="BF45" s="8">
        <v>1935</v>
      </c>
      <c r="BG45" s="8">
        <v>96.081999999999994</v>
      </c>
      <c r="BH45" s="8">
        <v>5</v>
      </c>
      <c r="BI45" s="8">
        <v>0</v>
      </c>
      <c r="BJ45" s="8" t="s">
        <v>160</v>
      </c>
      <c r="BK45" s="8">
        <v>3675154</v>
      </c>
      <c r="BL45" s="8">
        <v>2906506</v>
      </c>
      <c r="BM45" s="8">
        <v>79.084999999999994</v>
      </c>
      <c r="BN45" s="8">
        <v>1167542</v>
      </c>
      <c r="BO45" s="8">
        <v>1223737</v>
      </c>
      <c r="BP45" s="8">
        <v>104.813</v>
      </c>
      <c r="BQ45" s="8">
        <v>6</v>
      </c>
      <c r="BR45" s="8">
        <v>0</v>
      </c>
      <c r="BS45" s="8" t="s">
        <v>114</v>
      </c>
      <c r="BT45" s="8">
        <v>1829867</v>
      </c>
      <c r="BU45" s="8">
        <v>1033651</v>
      </c>
      <c r="BV45" s="8">
        <v>56.488</v>
      </c>
      <c r="BW45" s="8">
        <v>0</v>
      </c>
      <c r="BX45" s="8">
        <v>1942567</v>
      </c>
      <c r="BY45" s="8">
        <v>1322884</v>
      </c>
      <c r="BZ45" s="8">
        <v>68.099999999999994</v>
      </c>
      <c r="CA45" s="8">
        <v>1322884</v>
      </c>
      <c r="CB45" s="8">
        <v>68.099999999999994</v>
      </c>
      <c r="CC45" s="8">
        <v>2</v>
      </c>
      <c r="CD45" s="8">
        <v>0</v>
      </c>
      <c r="CE45" s="8" t="s">
        <v>116</v>
      </c>
      <c r="CF45" s="8">
        <v>146098</v>
      </c>
      <c r="CG45" s="8">
        <v>20983</v>
      </c>
      <c r="CH45" s="8">
        <v>14.362</v>
      </c>
      <c r="CI45" s="8">
        <v>74447</v>
      </c>
      <c r="CJ45" s="8">
        <v>20279</v>
      </c>
      <c r="CK45" s="8">
        <v>27.239000000000001</v>
      </c>
      <c r="CL45" s="8">
        <v>1</v>
      </c>
      <c r="CM45" s="8">
        <v>0</v>
      </c>
      <c r="CN45" s="8" t="s">
        <v>117</v>
      </c>
      <c r="CO45" s="8">
        <v>0</v>
      </c>
      <c r="CQ45">
        <f>SUMIFS([1]Working!$DC:$DC,[1]Working!$E:$E,H45)</f>
        <v>0</v>
      </c>
      <c r="CR45">
        <f t="shared" si="0"/>
        <v>0</v>
      </c>
    </row>
    <row r="46" spans="1:96" x14ac:dyDescent="0.35">
      <c r="A46" s="9" t="s">
        <v>93</v>
      </c>
      <c r="B46" s="9" t="s">
        <v>94</v>
      </c>
      <c r="C46" s="9">
        <v>92</v>
      </c>
      <c r="D46" s="9" t="s">
        <v>95</v>
      </c>
      <c r="E46" s="9" t="s">
        <v>300</v>
      </c>
      <c r="F46" s="9" t="s">
        <v>253</v>
      </c>
      <c r="G46" s="9" t="s">
        <v>303</v>
      </c>
      <c r="H46" s="9" t="s">
        <v>304</v>
      </c>
      <c r="I46" s="9" t="s">
        <v>305</v>
      </c>
      <c r="J46" s="9" t="s">
        <v>121</v>
      </c>
      <c r="K46" s="10">
        <v>44755</v>
      </c>
      <c r="L46" s="9" t="s">
        <v>256</v>
      </c>
      <c r="M46" s="9" t="s">
        <v>306</v>
      </c>
      <c r="N46" s="9"/>
      <c r="O46" s="9">
        <v>1</v>
      </c>
      <c r="P46" s="11" t="s">
        <v>101</v>
      </c>
      <c r="Q46" s="11" t="s">
        <v>102</v>
      </c>
      <c r="R46" s="11">
        <v>654769</v>
      </c>
      <c r="S46" s="11">
        <v>224338</v>
      </c>
      <c r="T46" s="11">
        <v>34.262</v>
      </c>
      <c r="U46" s="11">
        <v>253364</v>
      </c>
      <c r="V46" s="11">
        <v>38.695</v>
      </c>
      <c r="W46" s="11">
        <v>60216</v>
      </c>
      <c r="X46" s="11">
        <v>3843</v>
      </c>
      <c r="Y46" s="11">
        <v>0</v>
      </c>
      <c r="Z46" s="11">
        <v>9.1969999999999992</v>
      </c>
      <c r="AA46" s="11">
        <v>6719</v>
      </c>
      <c r="AB46" s="11">
        <v>-75</v>
      </c>
      <c r="AC46" s="11">
        <v>-1.109</v>
      </c>
      <c r="AD46" s="11">
        <v>1562</v>
      </c>
      <c r="AE46" s="11">
        <v>2960</v>
      </c>
      <c r="AF46" s="11">
        <v>189.52699999999999</v>
      </c>
      <c r="AG46" s="11">
        <v>221018</v>
      </c>
      <c r="AH46" s="11">
        <v>1398</v>
      </c>
      <c r="AI46" s="11">
        <v>0</v>
      </c>
      <c r="AJ46" s="11">
        <v>1.724</v>
      </c>
      <c r="AK46" s="11">
        <v>1921</v>
      </c>
      <c r="AL46" s="11">
        <v>0</v>
      </c>
      <c r="AM46" s="11">
        <v>667027</v>
      </c>
      <c r="AN46" s="11">
        <v>407074</v>
      </c>
      <c r="AO46" s="11">
        <v>61.027999999999999</v>
      </c>
      <c r="AP46" s="11">
        <v>97</v>
      </c>
      <c r="AQ46" s="11">
        <v>7</v>
      </c>
      <c r="AR46" s="11">
        <v>1</v>
      </c>
      <c r="AS46" s="11">
        <v>1</v>
      </c>
      <c r="AT46" s="11">
        <v>221018</v>
      </c>
      <c r="AU46" s="11">
        <v>33.755000000000003</v>
      </c>
      <c r="AV46" s="11">
        <v>0</v>
      </c>
      <c r="AW46" s="11" t="s">
        <v>112</v>
      </c>
      <c r="AX46" s="11">
        <v>0</v>
      </c>
      <c r="AY46" s="11" t="s">
        <v>158</v>
      </c>
      <c r="AZ46" s="11">
        <v>0</v>
      </c>
      <c r="BA46" s="11" t="s">
        <v>159</v>
      </c>
      <c r="BB46" s="11">
        <v>37003</v>
      </c>
      <c r="BC46" s="11">
        <v>22457</v>
      </c>
      <c r="BD46" s="11">
        <v>60.689</v>
      </c>
      <c r="BE46" s="11">
        <v>272</v>
      </c>
      <c r="BF46" s="11">
        <v>163</v>
      </c>
      <c r="BG46" s="11">
        <v>60.128</v>
      </c>
      <c r="BH46" s="11">
        <v>0</v>
      </c>
      <c r="BI46" s="11">
        <v>0</v>
      </c>
      <c r="BJ46" s="11" t="s">
        <v>160</v>
      </c>
      <c r="BK46" s="11">
        <v>500687</v>
      </c>
      <c r="BL46" s="11">
        <v>167987</v>
      </c>
      <c r="BM46" s="11">
        <v>33.551000000000002</v>
      </c>
      <c r="BN46" s="11">
        <v>155287</v>
      </c>
      <c r="BO46" s="11">
        <v>88524</v>
      </c>
      <c r="BP46" s="11">
        <v>57.006999999999998</v>
      </c>
      <c r="BQ46" s="11">
        <v>0</v>
      </c>
      <c r="BR46" s="11">
        <v>0</v>
      </c>
      <c r="BS46" s="11" t="s">
        <v>115</v>
      </c>
      <c r="BT46" s="11">
        <v>275433</v>
      </c>
      <c r="BU46" s="11">
        <v>48202</v>
      </c>
      <c r="BV46" s="11">
        <v>17.5</v>
      </c>
      <c r="BW46" s="11">
        <v>0</v>
      </c>
      <c r="BX46" s="11">
        <v>288558</v>
      </c>
      <c r="BY46" s="11">
        <v>59875</v>
      </c>
      <c r="BZ46" s="11">
        <v>20.75</v>
      </c>
      <c r="CA46" s="11">
        <v>59875</v>
      </c>
      <c r="CB46" s="11">
        <v>20.75</v>
      </c>
      <c r="CC46" s="11">
        <v>0</v>
      </c>
      <c r="CD46" s="11">
        <v>0</v>
      </c>
      <c r="CE46" s="11" t="s">
        <v>161</v>
      </c>
      <c r="CF46" s="11">
        <v>13120</v>
      </c>
      <c r="CG46" s="11">
        <v>-1397</v>
      </c>
      <c r="CH46" s="11">
        <v>-10.644</v>
      </c>
      <c r="CI46" s="11">
        <v>8272</v>
      </c>
      <c r="CJ46" s="11">
        <v>0</v>
      </c>
      <c r="CK46" s="11">
        <v>0</v>
      </c>
      <c r="CL46" s="11">
        <v>0</v>
      </c>
      <c r="CM46" s="11">
        <v>0</v>
      </c>
      <c r="CN46" s="11" t="s">
        <v>117</v>
      </c>
      <c r="CO46" s="11">
        <v>0</v>
      </c>
      <c r="CQ46">
        <f>SUMIFS([1]Working!$DC:$DC,[1]Working!$E:$E,H46)</f>
        <v>0</v>
      </c>
      <c r="CR46">
        <f t="shared" si="0"/>
        <v>0</v>
      </c>
    </row>
    <row r="47" spans="1:96" x14ac:dyDescent="0.35">
      <c r="A47" s="9" t="s">
        <v>93</v>
      </c>
      <c r="B47" s="9" t="s">
        <v>94</v>
      </c>
      <c r="C47" s="9">
        <v>92</v>
      </c>
      <c r="D47" s="9" t="s">
        <v>95</v>
      </c>
      <c r="E47" s="9" t="s">
        <v>300</v>
      </c>
      <c r="F47" s="9" t="s">
        <v>253</v>
      </c>
      <c r="G47" s="9" t="s">
        <v>307</v>
      </c>
      <c r="H47" s="9" t="s">
        <v>308</v>
      </c>
      <c r="I47" s="9" t="s">
        <v>309</v>
      </c>
      <c r="J47" s="9" t="s">
        <v>121</v>
      </c>
      <c r="K47" s="10">
        <v>45069</v>
      </c>
      <c r="L47" s="9" t="s">
        <v>256</v>
      </c>
      <c r="M47" s="9" t="s">
        <v>310</v>
      </c>
      <c r="N47" s="9"/>
      <c r="O47" s="9">
        <v>1</v>
      </c>
      <c r="P47" s="11" t="s">
        <v>101</v>
      </c>
      <c r="Q47" s="11" t="s">
        <v>102</v>
      </c>
      <c r="R47" s="11">
        <v>420519</v>
      </c>
      <c r="S47" s="11">
        <v>99192</v>
      </c>
      <c r="T47" s="11">
        <v>23.588000000000001</v>
      </c>
      <c r="U47" s="11">
        <v>254073</v>
      </c>
      <c r="V47" s="11">
        <v>60.418999999999997</v>
      </c>
      <c r="W47" s="11">
        <v>14613</v>
      </c>
      <c r="X47" s="11">
        <v>7958</v>
      </c>
      <c r="Y47" s="11">
        <v>0</v>
      </c>
      <c r="Z47" s="11">
        <v>3.4750000000000001</v>
      </c>
      <c r="AA47" s="11">
        <v>3172</v>
      </c>
      <c r="AB47" s="11">
        <v>0</v>
      </c>
      <c r="AC47" s="11">
        <v>0</v>
      </c>
      <c r="AD47" s="11">
        <v>9572</v>
      </c>
      <c r="AE47" s="11">
        <v>5550</v>
      </c>
      <c r="AF47" s="11">
        <v>57.984000000000002</v>
      </c>
      <c r="AG47" s="11">
        <v>95213</v>
      </c>
      <c r="AH47" s="11">
        <v>0</v>
      </c>
      <c r="AI47" s="11">
        <v>0</v>
      </c>
      <c r="AJ47" s="11">
        <v>8.0229999999999997</v>
      </c>
      <c r="AK47" s="11">
        <v>3979</v>
      </c>
      <c r="AL47" s="11">
        <v>0</v>
      </c>
      <c r="AM47" s="11">
        <v>416391</v>
      </c>
      <c r="AN47" s="11">
        <v>454267</v>
      </c>
      <c r="AO47" s="11">
        <v>109.096</v>
      </c>
      <c r="AP47" s="11">
        <v>100</v>
      </c>
      <c r="AQ47" s="11">
        <v>7</v>
      </c>
      <c r="AR47" s="11">
        <v>1</v>
      </c>
      <c r="AS47" s="11">
        <v>1</v>
      </c>
      <c r="AT47" s="11">
        <v>95213</v>
      </c>
      <c r="AU47" s="11">
        <v>22.641999999999999</v>
      </c>
      <c r="AV47" s="11">
        <v>0</v>
      </c>
      <c r="AW47" s="11" t="s">
        <v>113</v>
      </c>
      <c r="AX47" s="11">
        <v>0</v>
      </c>
      <c r="AY47" s="11" t="s">
        <v>158</v>
      </c>
      <c r="AZ47" s="11">
        <v>0</v>
      </c>
      <c r="BA47" s="11" t="s">
        <v>159</v>
      </c>
      <c r="BB47" s="11">
        <v>33841</v>
      </c>
      <c r="BC47" s="11">
        <v>20190</v>
      </c>
      <c r="BD47" s="11">
        <v>59.662999999999997</v>
      </c>
      <c r="BE47" s="11">
        <v>248</v>
      </c>
      <c r="BF47" s="11">
        <v>155</v>
      </c>
      <c r="BG47" s="11">
        <v>62.426000000000002</v>
      </c>
      <c r="BH47" s="11">
        <v>0</v>
      </c>
      <c r="BI47" s="11">
        <v>0</v>
      </c>
      <c r="BJ47" s="11" t="s">
        <v>160</v>
      </c>
      <c r="BK47" s="11">
        <v>251596</v>
      </c>
      <c r="BL47" s="11">
        <v>48416</v>
      </c>
      <c r="BM47" s="11">
        <v>19.244</v>
      </c>
      <c r="BN47" s="11">
        <v>94357</v>
      </c>
      <c r="BO47" s="11">
        <v>25627</v>
      </c>
      <c r="BP47" s="11">
        <v>27.16</v>
      </c>
      <c r="BQ47" s="11">
        <v>0</v>
      </c>
      <c r="BR47" s="11">
        <v>0</v>
      </c>
      <c r="BS47" s="11" t="s">
        <v>115</v>
      </c>
      <c r="BT47" s="11">
        <v>99410</v>
      </c>
      <c r="BU47" s="11">
        <v>0</v>
      </c>
      <c r="BV47" s="11">
        <v>0</v>
      </c>
      <c r="BW47" s="11">
        <v>0</v>
      </c>
      <c r="BX47" s="11">
        <v>106639</v>
      </c>
      <c r="BY47" s="11">
        <v>-500</v>
      </c>
      <c r="BZ47" s="11">
        <v>-0.46899999999999997</v>
      </c>
      <c r="CA47" s="11">
        <v>-500</v>
      </c>
      <c r="CB47" s="11">
        <v>-0.46899999999999997</v>
      </c>
      <c r="CC47" s="11">
        <v>0</v>
      </c>
      <c r="CD47" s="11">
        <v>0</v>
      </c>
      <c r="CE47" s="11" t="s">
        <v>161</v>
      </c>
      <c r="CF47" s="11">
        <v>13587</v>
      </c>
      <c r="CG47" s="11">
        <v>3100</v>
      </c>
      <c r="CH47" s="11">
        <v>22.812000000000001</v>
      </c>
      <c r="CI47" s="11">
        <v>8272</v>
      </c>
      <c r="CJ47" s="11">
        <v>0</v>
      </c>
      <c r="CK47" s="11">
        <v>0</v>
      </c>
      <c r="CL47" s="11">
        <v>0</v>
      </c>
      <c r="CM47" s="11">
        <v>0</v>
      </c>
      <c r="CN47" s="11" t="s">
        <v>117</v>
      </c>
      <c r="CO47" s="11">
        <v>0</v>
      </c>
      <c r="CQ47">
        <f>SUMIFS([1]Working!$DC:$DC,[1]Working!$E:$E,H47)</f>
        <v>0</v>
      </c>
      <c r="CR47">
        <f t="shared" si="0"/>
        <v>0</v>
      </c>
    </row>
    <row r="48" spans="1:96" x14ac:dyDescent="0.35">
      <c r="A48" s="9" t="s">
        <v>93</v>
      </c>
      <c r="B48" s="9" t="s">
        <v>94</v>
      </c>
      <c r="C48" s="9">
        <v>92</v>
      </c>
      <c r="D48" s="9" t="s">
        <v>95</v>
      </c>
      <c r="E48" s="9" t="s">
        <v>300</v>
      </c>
      <c r="F48" s="9" t="s">
        <v>253</v>
      </c>
      <c r="G48" s="9" t="s">
        <v>311</v>
      </c>
      <c r="H48" s="9" t="s">
        <v>312</v>
      </c>
      <c r="I48" s="9" t="s">
        <v>313</v>
      </c>
      <c r="J48" s="9" t="s">
        <v>121</v>
      </c>
      <c r="K48" s="10">
        <v>45729</v>
      </c>
      <c r="L48" s="9" t="s">
        <v>256</v>
      </c>
      <c r="M48" s="9" t="s">
        <v>314</v>
      </c>
      <c r="N48" s="9"/>
      <c r="O48" s="9">
        <v>1</v>
      </c>
      <c r="P48" s="11" t="s">
        <v>101</v>
      </c>
      <c r="Q48" s="11" t="s">
        <v>102</v>
      </c>
      <c r="R48" s="11">
        <v>432857</v>
      </c>
      <c r="S48" s="11">
        <v>467276</v>
      </c>
      <c r="T48" s="11">
        <v>107.952</v>
      </c>
      <c r="U48" s="11">
        <v>467423</v>
      </c>
      <c r="V48" s="11">
        <v>107.986</v>
      </c>
      <c r="W48" s="11">
        <v>185136</v>
      </c>
      <c r="X48" s="11">
        <v>216</v>
      </c>
      <c r="Y48" s="11">
        <v>0</v>
      </c>
      <c r="Z48" s="11">
        <v>42.771000000000001</v>
      </c>
      <c r="AA48" s="11">
        <v>31131</v>
      </c>
      <c r="AB48" s="11">
        <v>0</v>
      </c>
      <c r="AC48" s="11">
        <v>0</v>
      </c>
      <c r="AD48" s="11">
        <v>11625</v>
      </c>
      <c r="AE48" s="11">
        <v>16650</v>
      </c>
      <c r="AF48" s="11">
        <v>143.22300000000001</v>
      </c>
      <c r="AG48" s="11">
        <v>462252</v>
      </c>
      <c r="AH48" s="11">
        <v>5025</v>
      </c>
      <c r="AI48" s="11">
        <v>0</v>
      </c>
      <c r="AJ48" s="11">
        <v>4.7E-2</v>
      </c>
      <c r="AK48" s="11">
        <v>0</v>
      </c>
      <c r="AL48" s="11">
        <v>1</v>
      </c>
      <c r="AM48" s="11">
        <v>474725</v>
      </c>
      <c r="AN48" s="11">
        <v>487613</v>
      </c>
      <c r="AO48" s="11">
        <v>102.715</v>
      </c>
      <c r="AP48" s="11">
        <v>95</v>
      </c>
      <c r="AQ48" s="11">
        <v>6</v>
      </c>
      <c r="AR48" s="11">
        <v>0.9</v>
      </c>
      <c r="AS48" s="11">
        <v>1</v>
      </c>
      <c r="AT48" s="11">
        <v>454500</v>
      </c>
      <c r="AU48" s="11">
        <v>105</v>
      </c>
      <c r="AV48" s="11">
        <v>0</v>
      </c>
      <c r="AW48" s="11" t="s">
        <v>135</v>
      </c>
      <c r="AX48" s="11">
        <v>1500</v>
      </c>
      <c r="AY48" s="11" t="s">
        <v>103</v>
      </c>
      <c r="AZ48" s="11">
        <v>10518.419</v>
      </c>
      <c r="BA48" s="11" t="s">
        <v>103</v>
      </c>
      <c r="BB48" s="11">
        <v>35264</v>
      </c>
      <c r="BC48" s="11">
        <v>15180</v>
      </c>
      <c r="BD48" s="11">
        <v>43.048000000000002</v>
      </c>
      <c r="BE48" s="11">
        <v>259</v>
      </c>
      <c r="BF48" s="11">
        <v>106</v>
      </c>
      <c r="BG48" s="11">
        <v>40.764000000000003</v>
      </c>
      <c r="BH48" s="11">
        <v>0</v>
      </c>
      <c r="BI48" s="11">
        <v>0</v>
      </c>
      <c r="BJ48" s="11" t="s">
        <v>211</v>
      </c>
      <c r="BK48" s="11">
        <v>354108</v>
      </c>
      <c r="BL48" s="11">
        <v>390754</v>
      </c>
      <c r="BM48" s="11">
        <v>110.349</v>
      </c>
      <c r="BN48" s="11">
        <v>91666</v>
      </c>
      <c r="BO48" s="11">
        <v>161466</v>
      </c>
      <c r="BP48" s="11">
        <v>176.14699999999999</v>
      </c>
      <c r="BQ48" s="11">
        <v>1</v>
      </c>
      <c r="BR48" s="11">
        <v>2000</v>
      </c>
      <c r="BS48" s="11" t="s">
        <v>103</v>
      </c>
      <c r="BT48" s="11">
        <v>163208</v>
      </c>
      <c r="BU48" s="11">
        <v>170968</v>
      </c>
      <c r="BV48" s="11">
        <v>104.755</v>
      </c>
      <c r="BW48" s="11">
        <v>0</v>
      </c>
      <c r="BX48" s="11">
        <v>166195</v>
      </c>
      <c r="BY48" s="11">
        <v>176224</v>
      </c>
      <c r="BZ48" s="11">
        <v>106.035</v>
      </c>
      <c r="CA48" s="11">
        <v>176224</v>
      </c>
      <c r="CB48" s="11">
        <v>106.035</v>
      </c>
      <c r="CC48" s="11">
        <v>1</v>
      </c>
      <c r="CD48" s="11">
        <v>3000</v>
      </c>
      <c r="CE48" s="11" t="s">
        <v>103</v>
      </c>
      <c r="CF48" s="11">
        <v>29852</v>
      </c>
      <c r="CG48" s="11">
        <v>42907</v>
      </c>
      <c r="CH48" s="11">
        <v>143.733</v>
      </c>
      <c r="CI48" s="11">
        <v>8272</v>
      </c>
      <c r="CJ48" s="11">
        <v>0</v>
      </c>
      <c r="CK48" s="11">
        <v>0</v>
      </c>
      <c r="CL48" s="11">
        <v>1</v>
      </c>
      <c r="CM48" s="11">
        <v>0</v>
      </c>
      <c r="CN48" s="11" t="s">
        <v>153</v>
      </c>
      <c r="CO48" s="11">
        <v>17018.419000000002</v>
      </c>
      <c r="CQ48">
        <f>SUMIFS([1]Working!$DC:$DC,[1]Working!$E:$E,H48)</f>
        <v>17018.419370546002</v>
      </c>
      <c r="CR48">
        <f t="shared" si="0"/>
        <v>-3.7054600034025498E-4</v>
      </c>
    </row>
    <row r="49" spans="1:96" x14ac:dyDescent="0.35">
      <c r="A49" s="9" t="s">
        <v>93</v>
      </c>
      <c r="B49" s="9" t="s">
        <v>94</v>
      </c>
      <c r="C49" s="9">
        <v>92</v>
      </c>
      <c r="D49" s="9" t="s">
        <v>95</v>
      </c>
      <c r="E49" s="9" t="s">
        <v>300</v>
      </c>
      <c r="F49" s="9" t="s">
        <v>253</v>
      </c>
      <c r="G49" s="9" t="s">
        <v>315</v>
      </c>
      <c r="H49" s="9" t="s">
        <v>316</v>
      </c>
      <c r="I49" s="9" t="s">
        <v>317</v>
      </c>
      <c r="J49" s="9" t="s">
        <v>121</v>
      </c>
      <c r="K49" s="10">
        <v>43679</v>
      </c>
      <c r="L49" s="9" t="s">
        <v>256</v>
      </c>
      <c r="M49" s="9" t="s">
        <v>318</v>
      </c>
      <c r="N49" s="9"/>
      <c r="O49" s="9">
        <v>1</v>
      </c>
      <c r="P49" s="11" t="s">
        <v>101</v>
      </c>
      <c r="Q49" s="11" t="s">
        <v>102</v>
      </c>
      <c r="R49" s="11">
        <v>508197</v>
      </c>
      <c r="S49" s="11">
        <v>280386</v>
      </c>
      <c r="T49" s="11">
        <v>55.173000000000002</v>
      </c>
      <c r="U49" s="11">
        <v>336053</v>
      </c>
      <c r="V49" s="11">
        <v>66.126999999999995</v>
      </c>
      <c r="W49" s="11">
        <v>18164</v>
      </c>
      <c r="X49" s="11">
        <v>598</v>
      </c>
      <c r="Y49" s="11">
        <v>42968</v>
      </c>
      <c r="Z49" s="11">
        <v>3.5739999999999998</v>
      </c>
      <c r="AA49" s="11">
        <v>13876</v>
      </c>
      <c r="AB49" s="11">
        <v>0</v>
      </c>
      <c r="AC49" s="11">
        <v>0</v>
      </c>
      <c r="AD49" s="11">
        <v>30898</v>
      </c>
      <c r="AE49" s="11">
        <v>28113</v>
      </c>
      <c r="AF49" s="11">
        <v>90.983999999999995</v>
      </c>
      <c r="AG49" s="11">
        <v>280386</v>
      </c>
      <c r="AH49" s="11">
        <v>0</v>
      </c>
      <c r="AI49" s="11">
        <v>15.324999999999999</v>
      </c>
      <c r="AJ49" s="11">
        <v>0.21299999999999999</v>
      </c>
      <c r="AK49" s="11">
        <v>0</v>
      </c>
      <c r="AL49" s="11">
        <v>0</v>
      </c>
      <c r="AM49" s="11">
        <v>560226</v>
      </c>
      <c r="AN49" s="11">
        <v>324716</v>
      </c>
      <c r="AO49" s="11">
        <v>57.962000000000003</v>
      </c>
      <c r="AP49" s="11">
        <v>100</v>
      </c>
      <c r="AQ49" s="11">
        <v>7</v>
      </c>
      <c r="AR49" s="11">
        <v>1</v>
      </c>
      <c r="AS49" s="11">
        <v>1</v>
      </c>
      <c r="AT49" s="11">
        <v>280386</v>
      </c>
      <c r="AU49" s="11">
        <v>55.173000000000002</v>
      </c>
      <c r="AV49" s="11">
        <v>0</v>
      </c>
      <c r="AW49" s="11" t="s">
        <v>112</v>
      </c>
      <c r="AX49" s="11">
        <v>0</v>
      </c>
      <c r="AY49" s="11" t="s">
        <v>158</v>
      </c>
      <c r="AZ49" s="11">
        <v>0</v>
      </c>
      <c r="BA49" s="11" t="s">
        <v>159</v>
      </c>
      <c r="BB49" s="11">
        <v>18293</v>
      </c>
      <c r="BC49" s="11">
        <v>13022</v>
      </c>
      <c r="BD49" s="11">
        <v>71.186999999999998</v>
      </c>
      <c r="BE49" s="11">
        <v>135</v>
      </c>
      <c r="BF49" s="11">
        <v>97</v>
      </c>
      <c r="BG49" s="11">
        <v>72.272999999999996</v>
      </c>
      <c r="BH49" s="11">
        <v>0</v>
      </c>
      <c r="BI49" s="11">
        <v>0</v>
      </c>
      <c r="BJ49" s="11" t="s">
        <v>160</v>
      </c>
      <c r="BK49" s="11">
        <v>394755</v>
      </c>
      <c r="BL49" s="11">
        <v>130713</v>
      </c>
      <c r="BM49" s="11">
        <v>33.112000000000002</v>
      </c>
      <c r="BN49" s="11">
        <v>165495</v>
      </c>
      <c r="BO49" s="11">
        <v>50706</v>
      </c>
      <c r="BP49" s="11">
        <v>30.638999999999999</v>
      </c>
      <c r="BQ49" s="11">
        <v>0</v>
      </c>
      <c r="BR49" s="11">
        <v>0</v>
      </c>
      <c r="BS49" s="11" t="s">
        <v>115</v>
      </c>
      <c r="BT49" s="11">
        <v>177874</v>
      </c>
      <c r="BU49" s="11">
        <v>83042</v>
      </c>
      <c r="BV49" s="11">
        <v>46.686</v>
      </c>
      <c r="BW49" s="11">
        <v>0</v>
      </c>
      <c r="BX49" s="11">
        <v>182638</v>
      </c>
      <c r="BY49" s="11">
        <v>99686</v>
      </c>
      <c r="BZ49" s="11">
        <v>54.581000000000003</v>
      </c>
      <c r="CA49" s="11">
        <v>99686</v>
      </c>
      <c r="CB49" s="11">
        <v>54.581000000000003</v>
      </c>
      <c r="CC49" s="11">
        <v>0</v>
      </c>
      <c r="CD49" s="11">
        <v>0</v>
      </c>
      <c r="CE49" s="11" t="s">
        <v>161</v>
      </c>
      <c r="CF49" s="11">
        <v>14452</v>
      </c>
      <c r="CG49" s="11">
        <v>-32701</v>
      </c>
      <c r="CH49" s="11">
        <v>-226.27600000000001</v>
      </c>
      <c r="CI49" s="11">
        <v>8272</v>
      </c>
      <c r="CJ49" s="11">
        <v>10267</v>
      </c>
      <c r="CK49" s="11">
        <v>124.121</v>
      </c>
      <c r="CL49" s="11">
        <v>0</v>
      </c>
      <c r="CM49" s="11">
        <v>0</v>
      </c>
      <c r="CN49" s="11" t="s">
        <v>319</v>
      </c>
      <c r="CO49" s="11">
        <v>0</v>
      </c>
      <c r="CQ49">
        <f>SUMIFS([1]Working!$DC:$DC,[1]Working!$E:$E,H49)</f>
        <v>0</v>
      </c>
      <c r="CR49">
        <f t="shared" si="0"/>
        <v>0</v>
      </c>
    </row>
    <row r="50" spans="1:96" x14ac:dyDescent="0.35">
      <c r="A50" s="9" t="s">
        <v>93</v>
      </c>
      <c r="B50" s="9" t="s">
        <v>94</v>
      </c>
      <c r="C50" s="9">
        <v>92</v>
      </c>
      <c r="D50" s="9" t="s">
        <v>95</v>
      </c>
      <c r="E50" s="9" t="s">
        <v>300</v>
      </c>
      <c r="F50" s="9" t="s">
        <v>253</v>
      </c>
      <c r="G50" s="9" t="s">
        <v>320</v>
      </c>
      <c r="H50" s="9" t="s">
        <v>321</v>
      </c>
      <c r="I50" s="9" t="s">
        <v>322</v>
      </c>
      <c r="J50" s="9" t="s">
        <v>121</v>
      </c>
      <c r="K50" s="10">
        <v>43679</v>
      </c>
      <c r="L50" s="9" t="s">
        <v>256</v>
      </c>
      <c r="M50" s="9" t="s">
        <v>323</v>
      </c>
      <c r="N50" s="9"/>
      <c r="O50" s="9">
        <v>1</v>
      </c>
      <c r="P50" s="11" t="s">
        <v>101</v>
      </c>
      <c r="Q50" s="11" t="s">
        <v>102</v>
      </c>
      <c r="R50" s="11">
        <v>510082</v>
      </c>
      <c r="S50" s="11">
        <v>533496</v>
      </c>
      <c r="T50" s="11">
        <v>104.59</v>
      </c>
      <c r="U50" s="11">
        <v>517502</v>
      </c>
      <c r="V50" s="11">
        <v>101.455</v>
      </c>
      <c r="W50" s="11">
        <v>294120</v>
      </c>
      <c r="X50" s="11">
        <v>6758</v>
      </c>
      <c r="Y50" s="11">
        <v>3532</v>
      </c>
      <c r="Z50" s="11">
        <v>57.661000000000001</v>
      </c>
      <c r="AA50" s="11">
        <v>447</v>
      </c>
      <c r="AB50" s="11">
        <v>-3998</v>
      </c>
      <c r="AC50" s="11">
        <v>-893.37800000000004</v>
      </c>
      <c r="AD50" s="11">
        <v>4528</v>
      </c>
      <c r="AE50" s="11">
        <v>-1205</v>
      </c>
      <c r="AF50" s="11">
        <v>-26.603000000000002</v>
      </c>
      <c r="AG50" s="11">
        <v>527699</v>
      </c>
      <c r="AH50" s="11">
        <v>0</v>
      </c>
      <c r="AI50" s="11">
        <v>0.66500000000000004</v>
      </c>
      <c r="AJ50" s="11">
        <v>1.272</v>
      </c>
      <c r="AK50" s="11">
        <v>3379</v>
      </c>
      <c r="AL50" s="11">
        <v>1</v>
      </c>
      <c r="AM50" s="11">
        <v>510196</v>
      </c>
      <c r="AN50" s="11">
        <v>559377</v>
      </c>
      <c r="AO50" s="11">
        <v>109.64</v>
      </c>
      <c r="AP50" s="11">
        <v>100</v>
      </c>
      <c r="AQ50" s="11">
        <v>6</v>
      </c>
      <c r="AR50" s="11">
        <v>0.9</v>
      </c>
      <c r="AS50" s="11">
        <v>1</v>
      </c>
      <c r="AT50" s="11">
        <v>527699</v>
      </c>
      <c r="AU50" s="11">
        <v>103.45399999999999</v>
      </c>
      <c r="AV50" s="11">
        <v>14511.72</v>
      </c>
      <c r="AW50" s="11" t="s">
        <v>103</v>
      </c>
      <c r="AX50" s="11">
        <v>1500</v>
      </c>
      <c r="AY50" s="11" t="s">
        <v>103</v>
      </c>
      <c r="AZ50" s="11">
        <v>0</v>
      </c>
      <c r="BA50" s="11" t="s">
        <v>123</v>
      </c>
      <c r="BB50" s="11">
        <v>34073</v>
      </c>
      <c r="BC50" s="11">
        <v>37408</v>
      </c>
      <c r="BD50" s="11">
        <v>109.786</v>
      </c>
      <c r="BE50" s="11">
        <v>249</v>
      </c>
      <c r="BF50" s="11">
        <v>274</v>
      </c>
      <c r="BG50" s="11">
        <v>109.83199999999999</v>
      </c>
      <c r="BH50" s="11">
        <v>1</v>
      </c>
      <c r="BI50" s="11">
        <v>2000</v>
      </c>
      <c r="BJ50" s="11" t="s">
        <v>103</v>
      </c>
      <c r="BK50" s="11">
        <v>347778</v>
      </c>
      <c r="BL50" s="11">
        <v>398092</v>
      </c>
      <c r="BM50" s="11">
        <v>114.467</v>
      </c>
      <c r="BN50" s="11">
        <v>139959</v>
      </c>
      <c r="BO50" s="11">
        <v>156166</v>
      </c>
      <c r="BP50" s="11">
        <v>111.58</v>
      </c>
      <c r="BQ50" s="11">
        <v>1</v>
      </c>
      <c r="BR50" s="11">
        <v>2000</v>
      </c>
      <c r="BS50" s="11" t="s">
        <v>103</v>
      </c>
      <c r="BT50" s="11">
        <v>148787</v>
      </c>
      <c r="BU50" s="11">
        <v>166083</v>
      </c>
      <c r="BV50" s="11">
        <v>111.625</v>
      </c>
      <c r="BW50" s="11">
        <v>2418</v>
      </c>
      <c r="BX50" s="11">
        <v>161590</v>
      </c>
      <c r="BY50" s="11">
        <v>210934</v>
      </c>
      <c r="BZ50" s="11">
        <v>130.53700000000001</v>
      </c>
      <c r="CA50" s="11">
        <v>208516</v>
      </c>
      <c r="CB50" s="11">
        <v>129.04</v>
      </c>
      <c r="CC50" s="11">
        <v>1</v>
      </c>
      <c r="CD50" s="11">
        <v>2500</v>
      </c>
      <c r="CE50" s="11" t="s">
        <v>103</v>
      </c>
      <c r="CF50" s="11">
        <v>11708</v>
      </c>
      <c r="CG50" s="11">
        <v>0</v>
      </c>
      <c r="CH50" s="11">
        <v>0</v>
      </c>
      <c r="CI50" s="11">
        <v>8272</v>
      </c>
      <c r="CJ50" s="11">
        <v>0</v>
      </c>
      <c r="CK50" s="11">
        <v>0</v>
      </c>
      <c r="CL50" s="11">
        <v>0</v>
      </c>
      <c r="CM50" s="11">
        <v>0</v>
      </c>
      <c r="CN50" s="11" t="s">
        <v>124</v>
      </c>
      <c r="CO50" s="11">
        <v>22511.72</v>
      </c>
      <c r="CQ50">
        <f>SUMIFS([1]Working!$DC:$DC,[1]Working!$E:$E,H50)</f>
        <v>22511.719904164995</v>
      </c>
      <c r="CR50">
        <f t="shared" si="0"/>
        <v>9.5835006504785269E-5</v>
      </c>
    </row>
    <row r="51" spans="1:96" x14ac:dyDescent="0.35">
      <c r="A51" s="9" t="s">
        <v>93</v>
      </c>
      <c r="B51" s="9" t="s">
        <v>94</v>
      </c>
      <c r="C51" s="9">
        <v>92</v>
      </c>
      <c r="D51" s="9" t="s">
        <v>95</v>
      </c>
      <c r="E51" s="9" t="s">
        <v>300</v>
      </c>
      <c r="F51" s="9" t="s">
        <v>253</v>
      </c>
      <c r="G51" s="9" t="s">
        <v>324</v>
      </c>
      <c r="H51" s="9" t="s">
        <v>325</v>
      </c>
      <c r="I51" s="9" t="s">
        <v>326</v>
      </c>
      <c r="J51" s="9" t="s">
        <v>121</v>
      </c>
      <c r="K51" s="10">
        <v>43679</v>
      </c>
      <c r="L51" s="9" t="s">
        <v>256</v>
      </c>
      <c r="M51" s="9" t="s">
        <v>327</v>
      </c>
      <c r="N51" s="9"/>
      <c r="O51" s="9">
        <v>1</v>
      </c>
      <c r="P51" s="11" t="s">
        <v>101</v>
      </c>
      <c r="Q51" s="11" t="s">
        <v>102</v>
      </c>
      <c r="R51" s="11">
        <v>769615</v>
      </c>
      <c r="S51" s="11">
        <v>1039854</v>
      </c>
      <c r="T51" s="11">
        <v>135.113</v>
      </c>
      <c r="U51" s="11">
        <v>1139977</v>
      </c>
      <c r="V51" s="11">
        <v>148.12299999999999</v>
      </c>
      <c r="W51" s="11">
        <v>348421</v>
      </c>
      <c r="X51" s="11">
        <v>503</v>
      </c>
      <c r="Y51" s="11">
        <v>460000</v>
      </c>
      <c r="Z51" s="11">
        <v>45.271999999999998</v>
      </c>
      <c r="AA51" s="11">
        <v>15997</v>
      </c>
      <c r="AB51" s="11">
        <v>0</v>
      </c>
      <c r="AC51" s="11">
        <v>0</v>
      </c>
      <c r="AD51" s="11">
        <v>2976</v>
      </c>
      <c r="AE51" s="11">
        <v>6660</v>
      </c>
      <c r="AF51" s="11">
        <v>223.82</v>
      </c>
      <c r="AG51" s="11">
        <v>1036169</v>
      </c>
      <c r="AH51" s="11">
        <v>3684</v>
      </c>
      <c r="AI51" s="11">
        <v>44.393999999999998</v>
      </c>
      <c r="AJ51" s="11">
        <v>4.9000000000000002E-2</v>
      </c>
      <c r="AK51" s="11">
        <v>0</v>
      </c>
      <c r="AL51" s="11">
        <v>1</v>
      </c>
      <c r="AM51" s="11">
        <v>793674</v>
      </c>
      <c r="AN51" s="11">
        <v>822889</v>
      </c>
      <c r="AO51" s="11">
        <v>103.681</v>
      </c>
      <c r="AP51" s="11">
        <v>95</v>
      </c>
      <c r="AQ51" s="11">
        <v>9</v>
      </c>
      <c r="AR51" s="11">
        <v>1</v>
      </c>
      <c r="AS51" s="11">
        <v>1</v>
      </c>
      <c r="AT51" s="11">
        <v>808096</v>
      </c>
      <c r="AU51" s="11">
        <v>105</v>
      </c>
      <c r="AV51" s="11">
        <v>22500</v>
      </c>
      <c r="AW51" s="11" t="s">
        <v>103</v>
      </c>
      <c r="AX51" s="11">
        <v>1500</v>
      </c>
      <c r="AY51" s="11" t="s">
        <v>103</v>
      </c>
      <c r="AZ51" s="11">
        <v>0</v>
      </c>
      <c r="BA51" s="11" t="s">
        <v>123</v>
      </c>
      <c r="BB51" s="11">
        <v>28000</v>
      </c>
      <c r="BC51" s="11">
        <v>-15263</v>
      </c>
      <c r="BD51" s="11">
        <v>-54.512</v>
      </c>
      <c r="BE51" s="11">
        <v>205</v>
      </c>
      <c r="BF51" s="11">
        <v>-98</v>
      </c>
      <c r="BG51" s="11">
        <v>-47.508000000000003</v>
      </c>
      <c r="BH51" s="11">
        <v>0</v>
      </c>
      <c r="BI51" s="11">
        <v>0</v>
      </c>
      <c r="BJ51" s="11" t="s">
        <v>211</v>
      </c>
      <c r="BK51" s="11">
        <v>650862</v>
      </c>
      <c r="BL51" s="11">
        <v>644181</v>
      </c>
      <c r="BM51" s="11">
        <v>98.972999999999999</v>
      </c>
      <c r="BN51" s="11">
        <v>149157</v>
      </c>
      <c r="BO51" s="11">
        <v>242022</v>
      </c>
      <c r="BP51" s="11">
        <v>162.26</v>
      </c>
      <c r="BQ51" s="11">
        <v>1</v>
      </c>
      <c r="BR51" s="11">
        <v>2000</v>
      </c>
      <c r="BS51" s="11" t="s">
        <v>103</v>
      </c>
      <c r="BT51" s="11">
        <v>427039</v>
      </c>
      <c r="BU51" s="11">
        <v>273246</v>
      </c>
      <c r="BV51" s="11">
        <v>63.985999999999997</v>
      </c>
      <c r="BW51" s="11">
        <v>0</v>
      </c>
      <c r="BX51" s="11">
        <v>443025</v>
      </c>
      <c r="BY51" s="11">
        <v>413406</v>
      </c>
      <c r="BZ51" s="11">
        <v>93.313999999999993</v>
      </c>
      <c r="CA51" s="11">
        <v>413406</v>
      </c>
      <c r="CB51" s="11">
        <v>93.313999999999993</v>
      </c>
      <c r="CC51" s="11">
        <v>0</v>
      </c>
      <c r="CD51" s="11">
        <v>0</v>
      </c>
      <c r="CE51" s="11" t="s">
        <v>140</v>
      </c>
      <c r="CF51" s="11">
        <v>14684</v>
      </c>
      <c r="CG51" s="11">
        <v>7700</v>
      </c>
      <c r="CH51" s="11">
        <v>52.441000000000003</v>
      </c>
      <c r="CI51" s="11">
        <v>8272</v>
      </c>
      <c r="CJ51" s="11">
        <v>7700</v>
      </c>
      <c r="CK51" s="11">
        <v>93.090999999999994</v>
      </c>
      <c r="CL51" s="11">
        <v>0</v>
      </c>
      <c r="CM51" s="11">
        <v>0</v>
      </c>
      <c r="CN51" s="11" t="s">
        <v>124</v>
      </c>
      <c r="CO51" s="11">
        <v>26000</v>
      </c>
      <c r="CQ51">
        <f>SUMIFS([1]Working!$DC:$DC,[1]Working!$E:$E,H51)</f>
        <v>26000</v>
      </c>
      <c r="CR51">
        <f t="shared" si="0"/>
        <v>0</v>
      </c>
    </row>
    <row r="52" spans="1:96" x14ac:dyDescent="0.35">
      <c r="A52" s="9" t="s">
        <v>93</v>
      </c>
      <c r="B52" s="9" t="s">
        <v>94</v>
      </c>
      <c r="C52" s="9">
        <v>92</v>
      </c>
      <c r="D52" s="9" t="s">
        <v>95</v>
      </c>
      <c r="E52" s="9" t="s">
        <v>300</v>
      </c>
      <c r="F52" s="9" t="s">
        <v>253</v>
      </c>
      <c r="G52" s="9" t="s">
        <v>328</v>
      </c>
      <c r="H52" s="9" t="s">
        <v>329</v>
      </c>
      <c r="I52" s="9" t="s">
        <v>330</v>
      </c>
      <c r="J52" s="9" t="s">
        <v>121</v>
      </c>
      <c r="K52" s="10">
        <v>43874</v>
      </c>
      <c r="L52" s="9" t="s">
        <v>256</v>
      </c>
      <c r="M52" s="9" t="s">
        <v>331</v>
      </c>
      <c r="N52" s="9"/>
      <c r="O52" s="9">
        <v>1</v>
      </c>
      <c r="P52" s="11" t="s">
        <v>101</v>
      </c>
      <c r="Q52" s="11" t="s">
        <v>102</v>
      </c>
      <c r="R52" s="11">
        <v>362969</v>
      </c>
      <c r="S52" s="11">
        <v>368892</v>
      </c>
      <c r="T52" s="11">
        <v>101.63200000000001</v>
      </c>
      <c r="U52" s="11">
        <v>369714</v>
      </c>
      <c r="V52" s="11">
        <v>101.858</v>
      </c>
      <c r="W52" s="11">
        <v>243870</v>
      </c>
      <c r="X52" s="11">
        <v>0</v>
      </c>
      <c r="Y52" s="11">
        <v>0</v>
      </c>
      <c r="Z52" s="11">
        <v>67.188000000000002</v>
      </c>
      <c r="AA52" s="11">
        <v>56944</v>
      </c>
      <c r="AB52" s="11">
        <v>96814</v>
      </c>
      <c r="AC52" s="11">
        <v>170.01499999999999</v>
      </c>
      <c r="AD52" s="11">
        <v>47662</v>
      </c>
      <c r="AE52" s="11">
        <v>66600</v>
      </c>
      <c r="AF52" s="11">
        <v>139.733</v>
      </c>
      <c r="AG52" s="11">
        <v>368892</v>
      </c>
      <c r="AH52" s="11">
        <v>0</v>
      </c>
      <c r="AI52" s="11">
        <v>0</v>
      </c>
      <c r="AJ52" s="11">
        <v>0</v>
      </c>
      <c r="AK52" s="11">
        <v>0</v>
      </c>
      <c r="AL52" s="11">
        <v>1</v>
      </c>
      <c r="AM52" s="11">
        <v>446110</v>
      </c>
      <c r="AN52" s="11">
        <v>466140</v>
      </c>
      <c r="AO52" s="11">
        <v>104.49</v>
      </c>
      <c r="AP52" s="11">
        <v>100</v>
      </c>
      <c r="AQ52" s="11">
        <v>9</v>
      </c>
      <c r="AR52" s="11">
        <v>1</v>
      </c>
      <c r="AS52" s="11">
        <v>1</v>
      </c>
      <c r="AT52" s="11">
        <v>368892</v>
      </c>
      <c r="AU52" s="11">
        <v>101.63200000000001</v>
      </c>
      <c r="AV52" s="11">
        <v>10144.52</v>
      </c>
      <c r="AW52" s="11" t="s">
        <v>103</v>
      </c>
      <c r="AX52" s="11">
        <v>1500</v>
      </c>
      <c r="AY52" s="11" t="s">
        <v>103</v>
      </c>
      <c r="AZ52" s="11">
        <v>0</v>
      </c>
      <c r="BA52" s="11" t="s">
        <v>123</v>
      </c>
      <c r="BB52" s="11">
        <v>48840</v>
      </c>
      <c r="BC52" s="11">
        <v>64373</v>
      </c>
      <c r="BD52" s="11">
        <v>131.804</v>
      </c>
      <c r="BE52" s="11">
        <v>361</v>
      </c>
      <c r="BF52" s="11">
        <v>488</v>
      </c>
      <c r="BG52" s="11">
        <v>135.351</v>
      </c>
      <c r="BH52" s="11">
        <v>1</v>
      </c>
      <c r="BI52" s="11">
        <v>2000</v>
      </c>
      <c r="BJ52" s="11" t="s">
        <v>103</v>
      </c>
      <c r="BK52" s="11">
        <v>256838</v>
      </c>
      <c r="BL52" s="11">
        <v>274586</v>
      </c>
      <c r="BM52" s="11">
        <v>106.91</v>
      </c>
      <c r="BN52" s="11">
        <v>87031</v>
      </c>
      <c r="BO52" s="11">
        <v>105887</v>
      </c>
      <c r="BP52" s="11">
        <v>121.666</v>
      </c>
      <c r="BQ52" s="11">
        <v>1</v>
      </c>
      <c r="BR52" s="11">
        <v>1250</v>
      </c>
      <c r="BS52" s="11" t="s">
        <v>103</v>
      </c>
      <c r="BT52" s="11">
        <v>39594</v>
      </c>
      <c r="BU52" s="11">
        <v>4885</v>
      </c>
      <c r="BV52" s="11">
        <v>12.337</v>
      </c>
      <c r="BW52" s="11">
        <v>0</v>
      </c>
      <c r="BX52" s="11">
        <v>41089</v>
      </c>
      <c r="BY52" s="11">
        <v>7513</v>
      </c>
      <c r="BZ52" s="11">
        <v>18.283999999999999</v>
      </c>
      <c r="CA52" s="11">
        <v>7513</v>
      </c>
      <c r="CB52" s="11">
        <v>18.283999999999999</v>
      </c>
      <c r="CC52" s="11">
        <v>0</v>
      </c>
      <c r="CD52" s="11">
        <v>0</v>
      </c>
      <c r="CE52" s="11" t="s">
        <v>140</v>
      </c>
      <c r="CF52" s="11">
        <v>22934</v>
      </c>
      <c r="CG52" s="11">
        <v>0</v>
      </c>
      <c r="CH52" s="11">
        <v>0</v>
      </c>
      <c r="CI52" s="11">
        <v>8272</v>
      </c>
      <c r="CJ52" s="11">
        <v>0</v>
      </c>
      <c r="CK52" s="11">
        <v>0</v>
      </c>
      <c r="CL52" s="11">
        <v>0</v>
      </c>
      <c r="CM52" s="11">
        <v>0</v>
      </c>
      <c r="CN52" s="11" t="s">
        <v>124</v>
      </c>
      <c r="CO52" s="11">
        <v>14894.52</v>
      </c>
      <c r="CQ52">
        <f>SUMIFS([1]Working!$DC:$DC,[1]Working!$E:$E,H52)</f>
        <v>14894.519825000008</v>
      </c>
      <c r="CR52">
        <f t="shared" si="0"/>
        <v>1.7499999194114935E-4</v>
      </c>
    </row>
    <row r="53" spans="1:96" x14ac:dyDescent="0.35">
      <c r="A53" s="9" t="s">
        <v>93</v>
      </c>
      <c r="B53" s="9" t="s">
        <v>94</v>
      </c>
      <c r="C53" s="9">
        <v>92</v>
      </c>
      <c r="D53" s="9" t="s">
        <v>95</v>
      </c>
      <c r="E53" s="9" t="s">
        <v>300</v>
      </c>
      <c r="F53" s="9" t="s">
        <v>253</v>
      </c>
      <c r="G53" s="9" t="s">
        <v>332</v>
      </c>
      <c r="H53" s="9" t="s">
        <v>333</v>
      </c>
      <c r="I53" s="9" t="s">
        <v>334</v>
      </c>
      <c r="J53" s="9" t="s">
        <v>121</v>
      </c>
      <c r="K53" s="10">
        <v>44736</v>
      </c>
      <c r="L53" s="9" t="s">
        <v>256</v>
      </c>
      <c r="M53" s="9" t="s">
        <v>335</v>
      </c>
      <c r="N53" s="9"/>
      <c r="O53" s="9">
        <v>1</v>
      </c>
      <c r="P53" s="11" t="s">
        <v>101</v>
      </c>
      <c r="Q53" s="11" t="s">
        <v>102</v>
      </c>
      <c r="R53" s="11">
        <v>464143</v>
      </c>
      <c r="S53" s="11">
        <v>336143</v>
      </c>
      <c r="T53" s="11">
        <v>72.421999999999997</v>
      </c>
      <c r="U53" s="11">
        <v>304607</v>
      </c>
      <c r="V53" s="11">
        <v>65.628</v>
      </c>
      <c r="W53" s="11">
        <v>-71569</v>
      </c>
      <c r="X53" s="11">
        <v>22560</v>
      </c>
      <c r="Y53" s="11">
        <v>450288</v>
      </c>
      <c r="Z53" s="11">
        <v>-15.42</v>
      </c>
      <c r="AA53" s="11">
        <v>12893</v>
      </c>
      <c r="AB53" s="11">
        <v>-1031</v>
      </c>
      <c r="AC53" s="11">
        <v>-7.9930000000000003</v>
      </c>
      <c r="AD53" s="11">
        <v>17405</v>
      </c>
      <c r="AE53" s="11">
        <v>15136</v>
      </c>
      <c r="AF53" s="11">
        <v>86.965000000000003</v>
      </c>
      <c r="AG53" s="11">
        <v>324863</v>
      </c>
      <c r="AH53" s="11">
        <v>0</v>
      </c>
      <c r="AI53" s="11">
        <v>133.95699999999999</v>
      </c>
      <c r="AJ53" s="11">
        <v>6.7110000000000003</v>
      </c>
      <c r="AK53" s="11">
        <v>11280</v>
      </c>
      <c r="AL53" s="11">
        <v>0</v>
      </c>
      <c r="AM53" s="11">
        <v>455790</v>
      </c>
      <c r="AN53" s="11">
        <v>-60915</v>
      </c>
      <c r="AO53" s="11">
        <v>-13.365</v>
      </c>
      <c r="AP53" s="11">
        <v>100</v>
      </c>
      <c r="AQ53" s="11">
        <v>8</v>
      </c>
      <c r="AR53" s="11">
        <v>1</v>
      </c>
      <c r="AS53" s="11">
        <v>1</v>
      </c>
      <c r="AT53" s="11">
        <v>324863</v>
      </c>
      <c r="AU53" s="11">
        <v>69.992000000000004</v>
      </c>
      <c r="AV53" s="11">
        <v>0</v>
      </c>
      <c r="AW53" s="11" t="s">
        <v>112</v>
      </c>
      <c r="AX53" s="11">
        <v>0</v>
      </c>
      <c r="AY53" s="11" t="s">
        <v>158</v>
      </c>
      <c r="AZ53" s="11">
        <v>0</v>
      </c>
      <c r="BA53" s="11" t="s">
        <v>159</v>
      </c>
      <c r="BB53" s="11">
        <v>12173</v>
      </c>
      <c r="BC53" s="11">
        <v>47716</v>
      </c>
      <c r="BD53" s="11">
        <v>391.976</v>
      </c>
      <c r="BE53" s="11">
        <v>89</v>
      </c>
      <c r="BF53" s="11">
        <v>327</v>
      </c>
      <c r="BG53" s="11">
        <v>366.68599999999998</v>
      </c>
      <c r="BH53" s="11">
        <v>1</v>
      </c>
      <c r="BI53" s="11">
        <v>0</v>
      </c>
      <c r="BJ53" s="11" t="s">
        <v>114</v>
      </c>
      <c r="BK53" s="11">
        <v>327976</v>
      </c>
      <c r="BL53" s="11">
        <v>224676</v>
      </c>
      <c r="BM53" s="11">
        <v>68.504000000000005</v>
      </c>
      <c r="BN53" s="11">
        <v>103553</v>
      </c>
      <c r="BO53" s="11">
        <v>39353</v>
      </c>
      <c r="BP53" s="11">
        <v>38.003</v>
      </c>
      <c r="BQ53" s="11">
        <v>0</v>
      </c>
      <c r="BR53" s="11">
        <v>0</v>
      </c>
      <c r="BS53" s="11" t="s">
        <v>115</v>
      </c>
      <c r="BT53" s="11">
        <v>147280</v>
      </c>
      <c r="BU53" s="11">
        <v>116257</v>
      </c>
      <c r="BV53" s="11">
        <v>78.936000000000007</v>
      </c>
      <c r="BW53" s="11">
        <v>0</v>
      </c>
      <c r="BX53" s="11">
        <v>187873</v>
      </c>
      <c r="BY53" s="11">
        <v>139577</v>
      </c>
      <c r="BZ53" s="11">
        <v>74.293000000000006</v>
      </c>
      <c r="CA53" s="11">
        <v>139577</v>
      </c>
      <c r="CB53" s="11">
        <v>74.293000000000006</v>
      </c>
      <c r="CC53" s="11">
        <v>0</v>
      </c>
      <c r="CD53" s="11">
        <v>0</v>
      </c>
      <c r="CE53" s="11" t="s">
        <v>161</v>
      </c>
      <c r="CF53" s="11">
        <v>11483</v>
      </c>
      <c r="CG53" s="11">
        <v>-939</v>
      </c>
      <c r="CH53" s="11">
        <v>-8.1739999999999995</v>
      </c>
      <c r="CI53" s="11">
        <v>8272</v>
      </c>
      <c r="CJ53" s="11">
        <v>0</v>
      </c>
      <c r="CK53" s="11">
        <v>0</v>
      </c>
      <c r="CL53" s="11">
        <v>0</v>
      </c>
      <c r="CM53" s="11">
        <v>0</v>
      </c>
      <c r="CN53" s="11" t="s">
        <v>117</v>
      </c>
      <c r="CO53" s="11">
        <v>0</v>
      </c>
      <c r="CQ53">
        <f>SUMIFS([1]Working!$DC:$DC,[1]Working!$E:$E,H53)</f>
        <v>0</v>
      </c>
      <c r="CR53">
        <f t="shared" si="0"/>
        <v>0</v>
      </c>
    </row>
    <row r="54" spans="1:96" x14ac:dyDescent="0.35">
      <c r="A54" s="9" t="s">
        <v>93</v>
      </c>
      <c r="B54" s="9" t="s">
        <v>94</v>
      </c>
      <c r="C54" s="9">
        <v>92</v>
      </c>
      <c r="D54" s="9" t="s">
        <v>95</v>
      </c>
      <c r="E54" s="9" t="s">
        <v>300</v>
      </c>
      <c r="F54" s="9" t="s">
        <v>253</v>
      </c>
      <c r="G54" s="9" t="s">
        <v>336</v>
      </c>
      <c r="H54" s="9" t="s">
        <v>337</v>
      </c>
      <c r="I54" s="9" t="s">
        <v>338</v>
      </c>
      <c r="J54" s="9" t="s">
        <v>121</v>
      </c>
      <c r="K54" s="10">
        <v>43679</v>
      </c>
      <c r="L54" s="9" t="s">
        <v>256</v>
      </c>
      <c r="M54" s="9" t="s">
        <v>339</v>
      </c>
      <c r="N54" s="9"/>
      <c r="O54" s="9">
        <v>1</v>
      </c>
      <c r="P54" s="11" t="s">
        <v>101</v>
      </c>
      <c r="Q54" s="11" t="s">
        <v>102</v>
      </c>
      <c r="R54" s="11">
        <v>451516</v>
      </c>
      <c r="S54" s="11">
        <v>494053</v>
      </c>
      <c r="T54" s="11">
        <v>109.42100000000001</v>
      </c>
      <c r="U54" s="11">
        <v>481793</v>
      </c>
      <c r="V54" s="11">
        <v>106.706</v>
      </c>
      <c r="W54" s="11">
        <v>305699</v>
      </c>
      <c r="X54" s="11">
        <v>0</v>
      </c>
      <c r="Y54" s="11">
        <v>0</v>
      </c>
      <c r="Z54" s="11">
        <v>67.704999999999998</v>
      </c>
      <c r="AA54" s="11">
        <v>3739</v>
      </c>
      <c r="AB54" s="11">
        <v>0</v>
      </c>
      <c r="AC54" s="11">
        <v>0</v>
      </c>
      <c r="AD54" s="11">
        <v>6076</v>
      </c>
      <c r="AE54" s="11">
        <v>5475</v>
      </c>
      <c r="AF54" s="11">
        <v>90.111999999999995</v>
      </c>
      <c r="AG54" s="11">
        <v>494053</v>
      </c>
      <c r="AH54" s="11">
        <v>0</v>
      </c>
      <c r="AI54" s="11">
        <v>0</v>
      </c>
      <c r="AJ54" s="11">
        <v>0</v>
      </c>
      <c r="AK54" s="11">
        <v>0</v>
      </c>
      <c r="AL54" s="11">
        <v>1</v>
      </c>
      <c r="AM54" s="11">
        <v>439313</v>
      </c>
      <c r="AN54" s="11">
        <v>370418</v>
      </c>
      <c r="AO54" s="11">
        <v>84.317999999999998</v>
      </c>
      <c r="AP54" s="11">
        <v>87</v>
      </c>
      <c r="AQ54" s="11">
        <v>4</v>
      </c>
      <c r="AR54" s="11">
        <v>0.9</v>
      </c>
      <c r="AS54" s="11">
        <v>0.9</v>
      </c>
      <c r="AT54" s="11">
        <v>474092</v>
      </c>
      <c r="AU54" s="11">
        <v>105</v>
      </c>
      <c r="AV54" s="11">
        <v>0</v>
      </c>
      <c r="AW54" s="11" t="s">
        <v>228</v>
      </c>
      <c r="AX54" s="11">
        <v>1500</v>
      </c>
      <c r="AY54" s="11" t="s">
        <v>103</v>
      </c>
      <c r="AZ54" s="11">
        <v>0</v>
      </c>
      <c r="BA54" s="11" t="s">
        <v>123</v>
      </c>
      <c r="BB54" s="11">
        <v>17229</v>
      </c>
      <c r="BC54" s="11">
        <v>19388</v>
      </c>
      <c r="BD54" s="11">
        <v>112.53100000000001</v>
      </c>
      <c r="BE54" s="11">
        <v>128</v>
      </c>
      <c r="BF54" s="11">
        <v>142</v>
      </c>
      <c r="BG54" s="11">
        <v>111.51600000000001</v>
      </c>
      <c r="BH54" s="11">
        <v>1</v>
      </c>
      <c r="BI54" s="11">
        <v>1800</v>
      </c>
      <c r="BJ54" s="11" t="s">
        <v>103</v>
      </c>
      <c r="BK54" s="11">
        <v>355667</v>
      </c>
      <c r="BL54" s="11">
        <v>352140</v>
      </c>
      <c r="BM54" s="11">
        <v>99.007999999999996</v>
      </c>
      <c r="BN54" s="11">
        <v>77197</v>
      </c>
      <c r="BO54" s="11">
        <v>230171</v>
      </c>
      <c r="BP54" s="11">
        <v>298.16300000000001</v>
      </c>
      <c r="BQ54" s="11">
        <v>1</v>
      </c>
      <c r="BR54" s="11">
        <v>1125</v>
      </c>
      <c r="BS54" s="11" t="s">
        <v>103</v>
      </c>
      <c r="BT54" s="11">
        <v>234408</v>
      </c>
      <c r="BU54" s="11">
        <v>102581</v>
      </c>
      <c r="BV54" s="11">
        <v>43.762</v>
      </c>
      <c r="BW54" s="11">
        <v>0</v>
      </c>
      <c r="BX54" s="11">
        <v>243226</v>
      </c>
      <c r="BY54" s="11">
        <v>102581</v>
      </c>
      <c r="BZ54" s="11">
        <v>42.174999999999997</v>
      </c>
      <c r="CA54" s="11">
        <v>102581</v>
      </c>
      <c r="CB54" s="11">
        <v>42.174999999999997</v>
      </c>
      <c r="CC54" s="11">
        <v>0</v>
      </c>
      <c r="CD54" s="11">
        <v>0</v>
      </c>
      <c r="CE54" s="11" t="s">
        <v>140</v>
      </c>
      <c r="CF54" s="11">
        <v>14277</v>
      </c>
      <c r="CG54" s="11">
        <v>0</v>
      </c>
      <c r="CH54" s="11">
        <v>0</v>
      </c>
      <c r="CI54" s="11">
        <v>8272</v>
      </c>
      <c r="CJ54" s="11">
        <v>0</v>
      </c>
      <c r="CK54" s="11">
        <v>0</v>
      </c>
      <c r="CL54" s="11">
        <v>0</v>
      </c>
      <c r="CM54" s="11">
        <v>0</v>
      </c>
      <c r="CN54" s="11" t="s">
        <v>124</v>
      </c>
      <c r="CO54" s="11">
        <v>4425</v>
      </c>
      <c r="CQ54">
        <f>SUMIFS([1]Working!$DC:$DC,[1]Working!$E:$E,H54)</f>
        <v>4425</v>
      </c>
      <c r="CR54">
        <f t="shared" si="0"/>
        <v>0</v>
      </c>
    </row>
    <row r="55" spans="1:96" x14ac:dyDescent="0.35">
      <c r="A55" s="9" t="s">
        <v>93</v>
      </c>
      <c r="B55" s="9" t="s">
        <v>94</v>
      </c>
      <c r="C55" s="9">
        <v>92</v>
      </c>
      <c r="D55" s="9" t="s">
        <v>95</v>
      </c>
      <c r="E55" s="9" t="s">
        <v>300</v>
      </c>
      <c r="F55" s="9" t="s">
        <v>253</v>
      </c>
      <c r="G55" s="9" t="s">
        <v>340</v>
      </c>
      <c r="H55" s="9" t="s">
        <v>341</v>
      </c>
      <c r="I55" s="9" t="s">
        <v>342</v>
      </c>
      <c r="J55" s="9" t="s">
        <v>121</v>
      </c>
      <c r="K55" s="10">
        <v>45713</v>
      </c>
      <c r="L55" s="9" t="s">
        <v>256</v>
      </c>
      <c r="M55" s="9" t="s">
        <v>343</v>
      </c>
      <c r="N55" s="9"/>
      <c r="O55" s="9">
        <v>1</v>
      </c>
      <c r="P55" s="11" t="s">
        <v>101</v>
      </c>
      <c r="Q55" s="11" t="s">
        <v>102</v>
      </c>
      <c r="R55" s="11">
        <v>400767</v>
      </c>
      <c r="S55" s="11">
        <v>303894</v>
      </c>
      <c r="T55" s="11">
        <v>75.828000000000003</v>
      </c>
      <c r="U55" s="11">
        <v>297182</v>
      </c>
      <c r="V55" s="11">
        <v>74.153000000000006</v>
      </c>
      <c r="W55" s="11">
        <v>108899</v>
      </c>
      <c r="X55" s="11">
        <v>0</v>
      </c>
      <c r="Y55" s="11">
        <v>0</v>
      </c>
      <c r="Z55" s="11">
        <v>27.172999999999998</v>
      </c>
      <c r="AA55" s="11">
        <v>0</v>
      </c>
      <c r="AB55" s="11">
        <v>0</v>
      </c>
      <c r="AC55" s="11">
        <v>0</v>
      </c>
      <c r="AD55" s="11">
        <v>0</v>
      </c>
      <c r="AE55" s="11">
        <v>4070</v>
      </c>
      <c r="AF55" s="11">
        <v>0</v>
      </c>
      <c r="AG55" s="11">
        <v>303894</v>
      </c>
      <c r="AH55" s="11">
        <v>0</v>
      </c>
      <c r="AI55" s="11">
        <v>0</v>
      </c>
      <c r="AJ55" s="11">
        <v>0</v>
      </c>
      <c r="AK55" s="11">
        <v>0</v>
      </c>
      <c r="AL55" s="11">
        <v>0</v>
      </c>
      <c r="AM55" s="11">
        <v>337597</v>
      </c>
      <c r="AN55" s="11">
        <v>452090</v>
      </c>
      <c r="AO55" s="11">
        <v>133.91399999999999</v>
      </c>
      <c r="AP55" s="11">
        <v>100</v>
      </c>
      <c r="AQ55" s="11">
        <v>8</v>
      </c>
      <c r="AR55" s="11">
        <v>1</v>
      </c>
      <c r="AS55" s="11">
        <v>1</v>
      </c>
      <c r="AT55" s="11">
        <v>303894</v>
      </c>
      <c r="AU55" s="11">
        <v>75.828000000000003</v>
      </c>
      <c r="AV55" s="11">
        <v>0</v>
      </c>
      <c r="AW55" s="11" t="s">
        <v>344</v>
      </c>
      <c r="AX55" s="11">
        <v>0</v>
      </c>
      <c r="AY55" s="11" t="s">
        <v>158</v>
      </c>
      <c r="AZ55" s="11">
        <v>0</v>
      </c>
      <c r="BA55" s="11" t="s">
        <v>345</v>
      </c>
      <c r="BB55" s="11">
        <v>9313</v>
      </c>
      <c r="BC55" s="11">
        <v>40426</v>
      </c>
      <c r="BD55" s="11">
        <v>434.07499999999999</v>
      </c>
      <c r="BE55" s="11">
        <v>68</v>
      </c>
      <c r="BF55" s="11">
        <v>280</v>
      </c>
      <c r="BG55" s="11">
        <v>410.68400000000003</v>
      </c>
      <c r="BH55" s="11">
        <v>1</v>
      </c>
      <c r="BI55" s="11">
        <v>0</v>
      </c>
      <c r="BJ55" s="11" t="s">
        <v>114</v>
      </c>
      <c r="BK55" s="11">
        <v>234886</v>
      </c>
      <c r="BL55" s="11">
        <v>280141</v>
      </c>
      <c r="BM55" s="11">
        <v>119.267</v>
      </c>
      <c r="BN55" s="11">
        <v>103840</v>
      </c>
      <c r="BO55" s="11">
        <v>123814</v>
      </c>
      <c r="BP55" s="11">
        <v>119.236</v>
      </c>
      <c r="BQ55" s="11">
        <v>1</v>
      </c>
      <c r="BR55" s="11">
        <v>0</v>
      </c>
      <c r="BS55" s="11" t="s">
        <v>114</v>
      </c>
      <c r="BT55" s="11">
        <v>116836</v>
      </c>
      <c r="BU55" s="11">
        <v>68387</v>
      </c>
      <c r="BV55" s="11">
        <v>58.533000000000001</v>
      </c>
      <c r="BW55" s="11">
        <v>0</v>
      </c>
      <c r="BX55" s="11">
        <v>121733</v>
      </c>
      <c r="BY55" s="11">
        <v>113589</v>
      </c>
      <c r="BZ55" s="11">
        <v>93.31</v>
      </c>
      <c r="CA55" s="11">
        <v>113589</v>
      </c>
      <c r="CB55" s="11">
        <v>93.31</v>
      </c>
      <c r="CC55" s="11">
        <v>0</v>
      </c>
      <c r="CD55" s="11">
        <v>0</v>
      </c>
      <c r="CE55" s="11" t="s">
        <v>161</v>
      </c>
      <c r="CF55" s="11">
        <v>0</v>
      </c>
      <c r="CG55" s="11">
        <v>2311</v>
      </c>
      <c r="CH55" s="11">
        <v>0</v>
      </c>
      <c r="CI55" s="11">
        <v>0</v>
      </c>
      <c r="CJ55" s="11">
        <v>2311</v>
      </c>
      <c r="CK55" s="11">
        <v>0</v>
      </c>
      <c r="CL55" s="11">
        <v>0</v>
      </c>
      <c r="CM55" s="11">
        <v>0</v>
      </c>
      <c r="CN55" s="11" t="s">
        <v>117</v>
      </c>
      <c r="CO55" s="11">
        <v>0</v>
      </c>
      <c r="CQ55">
        <f>SUMIFS([1]Working!$DC:$DC,[1]Working!$E:$E,H55)</f>
        <v>0</v>
      </c>
      <c r="CR55">
        <f t="shared" si="0"/>
        <v>0</v>
      </c>
    </row>
    <row r="56" spans="1:96" x14ac:dyDescent="0.35">
      <c r="A56" s="6" t="s">
        <v>93</v>
      </c>
      <c r="B56" s="6" t="s">
        <v>94</v>
      </c>
      <c r="C56" s="6">
        <v>92</v>
      </c>
      <c r="D56" s="6" t="s">
        <v>95</v>
      </c>
      <c r="E56" s="6" t="s">
        <v>346</v>
      </c>
      <c r="F56" s="6" t="s">
        <v>253</v>
      </c>
      <c r="G56" s="6" t="s">
        <v>346</v>
      </c>
      <c r="H56" s="6" t="s">
        <v>347</v>
      </c>
      <c r="I56" s="6" t="s">
        <v>348</v>
      </c>
      <c r="J56" s="6" t="s">
        <v>110</v>
      </c>
      <c r="K56" s="7">
        <v>45079</v>
      </c>
      <c r="L56" s="6" t="s">
        <v>256</v>
      </c>
      <c r="M56" s="6" t="s">
        <v>349</v>
      </c>
      <c r="N56" s="6"/>
      <c r="O56" s="6">
        <v>10</v>
      </c>
      <c r="P56" s="8" t="s">
        <v>101</v>
      </c>
      <c r="Q56" s="8" t="s">
        <v>102</v>
      </c>
      <c r="R56" s="8">
        <v>4182402</v>
      </c>
      <c r="S56" s="8">
        <v>3950893</v>
      </c>
      <c r="T56" s="8">
        <v>94.465000000000003</v>
      </c>
      <c r="U56" s="8">
        <v>4051089</v>
      </c>
      <c r="V56" s="8">
        <v>96.86</v>
      </c>
      <c r="W56" s="8">
        <v>1136530</v>
      </c>
      <c r="X56" s="8">
        <v>121349</v>
      </c>
      <c r="Y56" s="8">
        <v>229371</v>
      </c>
      <c r="Z56" s="8">
        <v>27.173999999999999</v>
      </c>
      <c r="AA56" s="8">
        <v>284717</v>
      </c>
      <c r="AB56" s="8">
        <v>118417</v>
      </c>
      <c r="AC56" s="8">
        <v>41.591000000000001</v>
      </c>
      <c r="AD56" s="8">
        <v>265513</v>
      </c>
      <c r="AE56" s="8">
        <v>493359</v>
      </c>
      <c r="AF56" s="8">
        <v>185.81299999999999</v>
      </c>
      <c r="AG56" s="8">
        <v>3662373</v>
      </c>
      <c r="AH56" s="8">
        <v>227846</v>
      </c>
      <c r="AI56" s="8">
        <v>6.1609999999999996</v>
      </c>
      <c r="AJ56" s="8">
        <v>3.2589999999999999</v>
      </c>
      <c r="AK56" s="8">
        <v>60674</v>
      </c>
      <c r="AL56" s="8">
        <v>7</v>
      </c>
      <c r="AM56" s="8">
        <v>4601024</v>
      </c>
      <c r="AN56" s="8">
        <v>3982473</v>
      </c>
      <c r="AO56" s="8">
        <v>86.555999999999997</v>
      </c>
      <c r="AP56" s="8">
        <v>0</v>
      </c>
      <c r="AQ56" s="8">
        <v>0</v>
      </c>
      <c r="AR56" s="8"/>
      <c r="AS56" s="8"/>
      <c r="AT56" s="8">
        <v>3662373</v>
      </c>
      <c r="AU56" s="8">
        <v>87.566000000000003</v>
      </c>
      <c r="AV56" s="8">
        <v>0</v>
      </c>
      <c r="AW56" s="8" t="s">
        <v>112</v>
      </c>
      <c r="AX56" s="8">
        <v>0</v>
      </c>
      <c r="AY56" s="8" t="s">
        <v>158</v>
      </c>
      <c r="AZ56" s="8">
        <v>0</v>
      </c>
      <c r="BA56" s="8" t="s">
        <v>105</v>
      </c>
      <c r="BB56" s="8">
        <v>262843</v>
      </c>
      <c r="BC56" s="8">
        <v>124944</v>
      </c>
      <c r="BD56" s="8">
        <v>47.536000000000001</v>
      </c>
      <c r="BE56" s="8">
        <v>1937</v>
      </c>
      <c r="BF56" s="8">
        <v>887</v>
      </c>
      <c r="BG56" s="8">
        <v>45.801000000000002</v>
      </c>
      <c r="BH56" s="8">
        <v>2</v>
      </c>
      <c r="BI56" s="8">
        <v>0</v>
      </c>
      <c r="BJ56" s="8" t="s">
        <v>160</v>
      </c>
      <c r="BK56" s="8">
        <v>2970841</v>
      </c>
      <c r="BL56" s="8">
        <v>2284604</v>
      </c>
      <c r="BM56" s="8">
        <v>76.900999999999996</v>
      </c>
      <c r="BN56" s="8">
        <v>1351735</v>
      </c>
      <c r="BO56" s="8">
        <v>1344273</v>
      </c>
      <c r="BP56" s="8">
        <v>99.447999999999993</v>
      </c>
      <c r="BQ56" s="8">
        <v>6</v>
      </c>
      <c r="BR56" s="8">
        <v>0</v>
      </c>
      <c r="BS56" s="8" t="s">
        <v>115</v>
      </c>
      <c r="BT56" s="8">
        <v>826408</v>
      </c>
      <c r="BU56" s="8">
        <v>660472</v>
      </c>
      <c r="BV56" s="8">
        <v>79.921000000000006</v>
      </c>
      <c r="BW56" s="8">
        <v>0</v>
      </c>
      <c r="BX56" s="8">
        <v>896744</v>
      </c>
      <c r="BY56" s="8">
        <v>762407</v>
      </c>
      <c r="BZ56" s="8">
        <v>85.019000000000005</v>
      </c>
      <c r="CA56" s="8">
        <v>762407</v>
      </c>
      <c r="CB56" s="8">
        <v>85.019000000000005</v>
      </c>
      <c r="CC56" s="8">
        <v>5</v>
      </c>
      <c r="CD56" s="8">
        <v>0</v>
      </c>
      <c r="CE56" s="8" t="s">
        <v>116</v>
      </c>
      <c r="CF56" s="8">
        <v>174802</v>
      </c>
      <c r="CG56" s="8">
        <v>162409</v>
      </c>
      <c r="CH56" s="8">
        <v>92.91</v>
      </c>
      <c r="CI56" s="8">
        <v>82719</v>
      </c>
      <c r="CJ56" s="8">
        <v>19251</v>
      </c>
      <c r="CK56" s="8">
        <v>23.273</v>
      </c>
      <c r="CL56" s="8">
        <v>2</v>
      </c>
      <c r="CM56" s="8">
        <v>0</v>
      </c>
      <c r="CN56" s="8" t="s">
        <v>117</v>
      </c>
      <c r="CO56" s="8">
        <v>0</v>
      </c>
      <c r="CQ56">
        <f>SUMIFS([1]Working!$DC:$DC,[1]Working!$E:$E,H56)</f>
        <v>0</v>
      </c>
      <c r="CR56">
        <f t="shared" si="0"/>
        <v>0</v>
      </c>
    </row>
    <row r="57" spans="1:96" x14ac:dyDescent="0.35">
      <c r="A57" s="9" t="s">
        <v>93</v>
      </c>
      <c r="B57" s="9" t="s">
        <v>94</v>
      </c>
      <c r="C57" s="9">
        <v>92</v>
      </c>
      <c r="D57" s="9" t="s">
        <v>95</v>
      </c>
      <c r="E57" s="9" t="s">
        <v>346</v>
      </c>
      <c r="F57" s="9" t="s">
        <v>253</v>
      </c>
      <c r="G57" s="9" t="s">
        <v>350</v>
      </c>
      <c r="H57" s="9" t="s">
        <v>351</v>
      </c>
      <c r="I57" s="9" t="s">
        <v>352</v>
      </c>
      <c r="J57" s="9" t="s">
        <v>121</v>
      </c>
      <c r="K57" s="10">
        <v>45754</v>
      </c>
      <c r="L57" s="9" t="s">
        <v>256</v>
      </c>
      <c r="M57" s="9" t="s">
        <v>353</v>
      </c>
      <c r="N57" s="9"/>
      <c r="O57" s="9">
        <v>1</v>
      </c>
      <c r="P57" s="11" t="s">
        <v>101</v>
      </c>
      <c r="Q57" s="11" t="s">
        <v>102</v>
      </c>
      <c r="R57" s="11">
        <v>388682</v>
      </c>
      <c r="S57" s="11">
        <v>400396</v>
      </c>
      <c r="T57" s="11">
        <v>103.014</v>
      </c>
      <c r="U57" s="11">
        <v>282356</v>
      </c>
      <c r="V57" s="11">
        <v>72.644999999999996</v>
      </c>
      <c r="W57" s="11">
        <v>76202</v>
      </c>
      <c r="X57" s="11">
        <v>2468</v>
      </c>
      <c r="Y57" s="11">
        <v>0</v>
      </c>
      <c r="Z57" s="11">
        <v>19.605</v>
      </c>
      <c r="AA57" s="11">
        <v>15366</v>
      </c>
      <c r="AB57" s="11">
        <v>17710</v>
      </c>
      <c r="AC57" s="11">
        <v>115.253</v>
      </c>
      <c r="AD57" s="11">
        <v>2797</v>
      </c>
      <c r="AE57" s="11">
        <v>0</v>
      </c>
      <c r="AF57" s="11">
        <v>0</v>
      </c>
      <c r="AG57" s="11">
        <v>399163</v>
      </c>
      <c r="AH57" s="11">
        <v>0</v>
      </c>
      <c r="AI57" s="11">
        <v>0</v>
      </c>
      <c r="AJ57" s="11">
        <v>0.61599999999999999</v>
      </c>
      <c r="AK57" s="11">
        <v>1234</v>
      </c>
      <c r="AL57" s="11">
        <v>1</v>
      </c>
      <c r="AM57" s="11">
        <v>451350</v>
      </c>
      <c r="AN57" s="11">
        <v>482920</v>
      </c>
      <c r="AO57" s="11">
        <v>106.995</v>
      </c>
      <c r="AP57" s="11">
        <v>98</v>
      </c>
      <c r="AQ57" s="11">
        <v>6</v>
      </c>
      <c r="AR57" s="11">
        <v>0.9</v>
      </c>
      <c r="AS57" s="11">
        <v>1</v>
      </c>
      <c r="AT57" s="11">
        <v>399163</v>
      </c>
      <c r="AU57" s="11">
        <v>102.696</v>
      </c>
      <c r="AV57" s="11">
        <v>0</v>
      </c>
      <c r="AW57" s="11" t="s">
        <v>135</v>
      </c>
      <c r="AX57" s="11">
        <v>0</v>
      </c>
      <c r="AY57" s="11" t="s">
        <v>130</v>
      </c>
      <c r="AZ57" s="11">
        <v>9444.98</v>
      </c>
      <c r="BA57" s="11" t="s">
        <v>103</v>
      </c>
      <c r="BB57" s="11">
        <v>25791</v>
      </c>
      <c r="BC57" s="11">
        <v>4263</v>
      </c>
      <c r="BD57" s="11">
        <v>16.527999999999999</v>
      </c>
      <c r="BE57" s="11">
        <v>190</v>
      </c>
      <c r="BF57" s="11">
        <v>27</v>
      </c>
      <c r="BG57" s="11">
        <v>14.352</v>
      </c>
      <c r="BH57" s="11">
        <v>0</v>
      </c>
      <c r="BI57" s="11">
        <v>0</v>
      </c>
      <c r="BJ57" s="11" t="s">
        <v>211</v>
      </c>
      <c r="BK57" s="11">
        <v>333137</v>
      </c>
      <c r="BL57" s="11">
        <v>307624</v>
      </c>
      <c r="BM57" s="11">
        <v>92.341999999999999</v>
      </c>
      <c r="BN57" s="11">
        <v>238323</v>
      </c>
      <c r="BO57" s="11">
        <v>252187</v>
      </c>
      <c r="BP57" s="11">
        <v>105.81699999999999</v>
      </c>
      <c r="BQ57" s="11">
        <v>1</v>
      </c>
      <c r="BR57" s="11">
        <v>2750</v>
      </c>
      <c r="BS57" s="11" t="s">
        <v>103</v>
      </c>
      <c r="BT57" s="11">
        <v>33783</v>
      </c>
      <c r="BU57" s="11">
        <v>24424</v>
      </c>
      <c r="BV57" s="11">
        <v>72.296000000000006</v>
      </c>
      <c r="BW57" s="11">
        <v>0</v>
      </c>
      <c r="BX57" s="11">
        <v>35277</v>
      </c>
      <c r="BY57" s="11">
        <v>29680</v>
      </c>
      <c r="BZ57" s="11">
        <v>84.134</v>
      </c>
      <c r="CA57" s="11">
        <v>29680</v>
      </c>
      <c r="CB57" s="11">
        <v>84.134</v>
      </c>
      <c r="CC57" s="11">
        <v>0</v>
      </c>
      <c r="CD57" s="11">
        <v>0</v>
      </c>
      <c r="CE57" s="11" t="s">
        <v>140</v>
      </c>
      <c r="CF57" s="11">
        <v>18380</v>
      </c>
      <c r="CG57" s="11">
        <v>3784</v>
      </c>
      <c r="CH57" s="11">
        <v>20.59</v>
      </c>
      <c r="CI57" s="11">
        <v>8272</v>
      </c>
      <c r="CJ57" s="11">
        <v>3850</v>
      </c>
      <c r="CK57" s="11">
        <v>46.545000000000002</v>
      </c>
      <c r="CL57" s="11">
        <v>0</v>
      </c>
      <c r="CM57" s="11">
        <v>0</v>
      </c>
      <c r="CN57" s="11" t="s">
        <v>124</v>
      </c>
      <c r="CO57" s="11">
        <v>12194.98</v>
      </c>
      <c r="CQ57">
        <f>SUMIFS([1]Working!$DC:$DC,[1]Working!$E:$E,H57)</f>
        <v>12194.980044791002</v>
      </c>
      <c r="CR57">
        <f t="shared" si="0"/>
        <v>-4.4791002437705174E-5</v>
      </c>
    </row>
    <row r="58" spans="1:96" x14ac:dyDescent="0.35">
      <c r="A58" s="9" t="s">
        <v>93</v>
      </c>
      <c r="B58" s="9" t="s">
        <v>94</v>
      </c>
      <c r="C58" s="9">
        <v>92</v>
      </c>
      <c r="D58" s="9" t="s">
        <v>95</v>
      </c>
      <c r="E58" s="9" t="s">
        <v>346</v>
      </c>
      <c r="F58" s="9" t="s">
        <v>253</v>
      </c>
      <c r="G58" s="9" t="s">
        <v>354</v>
      </c>
      <c r="H58" s="9" t="s">
        <v>355</v>
      </c>
      <c r="I58" s="9" t="s">
        <v>356</v>
      </c>
      <c r="J58" s="9" t="s">
        <v>121</v>
      </c>
      <c r="K58" s="10">
        <v>45315</v>
      </c>
      <c r="L58" s="9" t="s">
        <v>256</v>
      </c>
      <c r="M58" s="9" t="s">
        <v>357</v>
      </c>
      <c r="N58" s="9"/>
      <c r="O58" s="9">
        <v>1</v>
      </c>
      <c r="P58" s="11" t="s">
        <v>101</v>
      </c>
      <c r="Q58" s="11" t="s">
        <v>102</v>
      </c>
      <c r="R58" s="11">
        <v>235437</v>
      </c>
      <c r="S58" s="11">
        <v>252838</v>
      </c>
      <c r="T58" s="11">
        <v>107.39100000000001</v>
      </c>
      <c r="U58" s="11">
        <v>276746</v>
      </c>
      <c r="V58" s="11">
        <v>117.54600000000001</v>
      </c>
      <c r="W58" s="11">
        <v>109556</v>
      </c>
      <c r="X58" s="11">
        <v>1382</v>
      </c>
      <c r="Y58" s="11">
        <v>0</v>
      </c>
      <c r="Z58" s="11">
        <v>46.533000000000001</v>
      </c>
      <c r="AA58" s="11">
        <v>14589</v>
      </c>
      <c r="AB58" s="11">
        <v>24801</v>
      </c>
      <c r="AC58" s="11">
        <v>169.999</v>
      </c>
      <c r="AD58" s="11">
        <v>17437</v>
      </c>
      <c r="AE58" s="11">
        <v>33166</v>
      </c>
      <c r="AF58" s="11">
        <v>190.209</v>
      </c>
      <c r="AG58" s="11">
        <v>252147</v>
      </c>
      <c r="AH58" s="11">
        <v>0</v>
      </c>
      <c r="AI58" s="11">
        <v>0</v>
      </c>
      <c r="AJ58" s="11">
        <v>0.54700000000000004</v>
      </c>
      <c r="AK58" s="11">
        <v>691</v>
      </c>
      <c r="AL58" s="11">
        <v>1</v>
      </c>
      <c r="AM58" s="11">
        <v>285447</v>
      </c>
      <c r="AN58" s="11">
        <v>308453</v>
      </c>
      <c r="AO58" s="11">
        <v>108.06</v>
      </c>
      <c r="AP58" s="11">
        <v>95</v>
      </c>
      <c r="AQ58" s="11">
        <v>7</v>
      </c>
      <c r="AR58" s="11">
        <v>1</v>
      </c>
      <c r="AS58" s="11">
        <v>1</v>
      </c>
      <c r="AT58" s="11">
        <v>247208</v>
      </c>
      <c r="AU58" s="11">
        <v>105</v>
      </c>
      <c r="AV58" s="11">
        <v>6921.835</v>
      </c>
      <c r="AW58" s="11" t="s">
        <v>103</v>
      </c>
      <c r="AX58" s="11">
        <v>1500</v>
      </c>
      <c r="AY58" s="11" t="s">
        <v>103</v>
      </c>
      <c r="AZ58" s="11">
        <v>0</v>
      </c>
      <c r="BA58" s="11" t="s">
        <v>123</v>
      </c>
      <c r="BB58" s="11">
        <v>10156</v>
      </c>
      <c r="BC58" s="11">
        <v>5513</v>
      </c>
      <c r="BD58" s="11">
        <v>54.281999999999996</v>
      </c>
      <c r="BE58" s="11">
        <v>75</v>
      </c>
      <c r="BF58" s="11">
        <v>38</v>
      </c>
      <c r="BG58" s="11">
        <v>50.917000000000002</v>
      </c>
      <c r="BH58" s="11">
        <v>0</v>
      </c>
      <c r="BI58" s="11">
        <v>0</v>
      </c>
      <c r="BJ58" s="11" t="s">
        <v>211</v>
      </c>
      <c r="BK58" s="11">
        <v>174371</v>
      </c>
      <c r="BL58" s="11">
        <v>166786</v>
      </c>
      <c r="BM58" s="11">
        <v>95.65</v>
      </c>
      <c r="BN58" s="11">
        <v>119511</v>
      </c>
      <c r="BO58" s="11">
        <v>113429</v>
      </c>
      <c r="BP58" s="11">
        <v>94.91</v>
      </c>
      <c r="BQ58" s="11">
        <v>0</v>
      </c>
      <c r="BR58" s="11">
        <v>0</v>
      </c>
      <c r="BS58" s="11" t="s">
        <v>197</v>
      </c>
      <c r="BT58" s="11">
        <v>17982</v>
      </c>
      <c r="BU58" s="11">
        <v>19539</v>
      </c>
      <c r="BV58" s="11">
        <v>108.663</v>
      </c>
      <c r="BW58" s="11">
        <v>0</v>
      </c>
      <c r="BX58" s="11">
        <v>18519</v>
      </c>
      <c r="BY58" s="11">
        <v>23043</v>
      </c>
      <c r="BZ58" s="11">
        <v>124.432</v>
      </c>
      <c r="CA58" s="11">
        <v>23043</v>
      </c>
      <c r="CB58" s="11">
        <v>124.432</v>
      </c>
      <c r="CC58" s="11">
        <v>1</v>
      </c>
      <c r="CD58" s="11">
        <v>1500</v>
      </c>
      <c r="CE58" s="11" t="s">
        <v>103</v>
      </c>
      <c r="CF58" s="11">
        <v>11596</v>
      </c>
      <c r="CG58" s="11">
        <v>0</v>
      </c>
      <c r="CH58" s="11">
        <v>0</v>
      </c>
      <c r="CI58" s="11">
        <v>8272</v>
      </c>
      <c r="CJ58" s="11">
        <v>0</v>
      </c>
      <c r="CK58" s="11">
        <v>0</v>
      </c>
      <c r="CL58" s="11">
        <v>0</v>
      </c>
      <c r="CM58" s="11">
        <v>0</v>
      </c>
      <c r="CN58" s="11" t="s">
        <v>124</v>
      </c>
      <c r="CO58" s="11">
        <v>9921.8349999999991</v>
      </c>
      <c r="CQ58">
        <f>SUMIFS([1]Working!$DC:$DC,[1]Working!$E:$E,H58)</f>
        <v>9921.8354875740006</v>
      </c>
      <c r="CR58">
        <f t="shared" si="0"/>
        <v>-4.8757400145404972E-4</v>
      </c>
    </row>
    <row r="59" spans="1:96" x14ac:dyDescent="0.35">
      <c r="A59" s="9" t="s">
        <v>93</v>
      </c>
      <c r="B59" s="9" t="s">
        <v>94</v>
      </c>
      <c r="C59" s="9">
        <v>92</v>
      </c>
      <c r="D59" s="9" t="s">
        <v>95</v>
      </c>
      <c r="E59" s="9" t="s">
        <v>346</v>
      </c>
      <c r="F59" s="9" t="s">
        <v>253</v>
      </c>
      <c r="G59" s="9" t="s">
        <v>358</v>
      </c>
      <c r="H59" s="9" t="s">
        <v>359</v>
      </c>
      <c r="I59" s="9" t="s">
        <v>360</v>
      </c>
      <c r="J59" s="9" t="s">
        <v>121</v>
      </c>
      <c r="K59" s="10">
        <v>39345</v>
      </c>
      <c r="L59" s="9" t="s">
        <v>256</v>
      </c>
      <c r="M59" s="9" t="s">
        <v>361</v>
      </c>
      <c r="N59" s="9"/>
      <c r="O59" s="9">
        <v>1</v>
      </c>
      <c r="P59" s="11" t="s">
        <v>101</v>
      </c>
      <c r="Q59" s="11" t="s">
        <v>102</v>
      </c>
      <c r="R59" s="11">
        <v>409721</v>
      </c>
      <c r="S59" s="11">
        <v>425544</v>
      </c>
      <c r="T59" s="11">
        <v>103.86199999999999</v>
      </c>
      <c r="U59" s="11">
        <v>448412</v>
      </c>
      <c r="V59" s="11">
        <v>109.443</v>
      </c>
      <c r="W59" s="11">
        <v>87608</v>
      </c>
      <c r="X59" s="11">
        <v>5508</v>
      </c>
      <c r="Y59" s="11">
        <v>2254</v>
      </c>
      <c r="Z59" s="11">
        <v>21.382000000000001</v>
      </c>
      <c r="AA59" s="11">
        <v>42338</v>
      </c>
      <c r="AB59" s="11">
        <v>-153</v>
      </c>
      <c r="AC59" s="11">
        <v>-0.36099999999999999</v>
      </c>
      <c r="AD59" s="11">
        <v>569</v>
      </c>
      <c r="AE59" s="11">
        <v>0</v>
      </c>
      <c r="AF59" s="11">
        <v>0</v>
      </c>
      <c r="AG59" s="11">
        <v>357910</v>
      </c>
      <c r="AH59" s="11">
        <v>0</v>
      </c>
      <c r="AI59" s="11">
        <v>0.625</v>
      </c>
      <c r="AJ59" s="11">
        <v>1.5269999999999999</v>
      </c>
      <c r="AK59" s="11">
        <v>2754</v>
      </c>
      <c r="AL59" s="11">
        <v>0</v>
      </c>
      <c r="AM59" s="11">
        <v>447495</v>
      </c>
      <c r="AN59" s="11">
        <v>465748</v>
      </c>
      <c r="AO59" s="11">
        <v>104.07899999999999</v>
      </c>
      <c r="AP59" s="11">
        <v>100</v>
      </c>
      <c r="AQ59" s="11">
        <v>8</v>
      </c>
      <c r="AR59" s="11">
        <v>1</v>
      </c>
      <c r="AS59" s="11">
        <v>1</v>
      </c>
      <c r="AT59" s="11">
        <v>357910</v>
      </c>
      <c r="AU59" s="11">
        <v>87.355000000000004</v>
      </c>
      <c r="AV59" s="11">
        <v>0</v>
      </c>
      <c r="AW59" s="11" t="s">
        <v>113</v>
      </c>
      <c r="AX59" s="11">
        <v>0</v>
      </c>
      <c r="AY59" s="11" t="s">
        <v>158</v>
      </c>
      <c r="AZ59" s="11">
        <v>0</v>
      </c>
      <c r="BA59" s="11" t="s">
        <v>123</v>
      </c>
      <c r="BB59" s="11">
        <v>10876</v>
      </c>
      <c r="BC59" s="11">
        <v>8300</v>
      </c>
      <c r="BD59" s="11">
        <v>76.319999999999993</v>
      </c>
      <c r="BE59" s="11">
        <v>81</v>
      </c>
      <c r="BF59" s="11">
        <v>57</v>
      </c>
      <c r="BG59" s="11">
        <v>70.218999999999994</v>
      </c>
      <c r="BH59" s="11">
        <v>0</v>
      </c>
      <c r="BI59" s="11">
        <v>0</v>
      </c>
      <c r="BJ59" s="11" t="s">
        <v>160</v>
      </c>
      <c r="BK59" s="11">
        <v>318235</v>
      </c>
      <c r="BL59" s="11">
        <v>310002</v>
      </c>
      <c r="BM59" s="11">
        <v>97.412999999999997</v>
      </c>
      <c r="BN59" s="11">
        <v>155996</v>
      </c>
      <c r="BO59" s="11">
        <v>194550</v>
      </c>
      <c r="BP59" s="11">
        <v>124.715</v>
      </c>
      <c r="BQ59" s="11">
        <v>1</v>
      </c>
      <c r="BR59" s="11">
        <v>0</v>
      </c>
      <c r="BS59" s="11" t="s">
        <v>114</v>
      </c>
      <c r="BT59" s="11">
        <v>97655</v>
      </c>
      <c r="BU59" s="11">
        <v>172301</v>
      </c>
      <c r="BV59" s="11">
        <v>176.43799999999999</v>
      </c>
      <c r="BW59" s="11">
        <v>64880</v>
      </c>
      <c r="BX59" s="11">
        <v>99130</v>
      </c>
      <c r="BY59" s="11">
        <v>172477</v>
      </c>
      <c r="BZ59" s="11">
        <v>173.99100000000001</v>
      </c>
      <c r="CA59" s="11">
        <v>107596</v>
      </c>
      <c r="CB59" s="11">
        <v>108.541</v>
      </c>
      <c r="CC59" s="11">
        <v>1</v>
      </c>
      <c r="CD59" s="11">
        <v>0</v>
      </c>
      <c r="CE59" s="11" t="s">
        <v>114</v>
      </c>
      <c r="CF59" s="11">
        <v>9896</v>
      </c>
      <c r="CG59" s="11">
        <v>-292</v>
      </c>
      <c r="CH59" s="11">
        <v>-2.948</v>
      </c>
      <c r="CI59" s="11">
        <v>8272</v>
      </c>
      <c r="CJ59" s="11">
        <v>-292</v>
      </c>
      <c r="CK59" s="11">
        <v>-3.5259999999999998</v>
      </c>
      <c r="CL59" s="11">
        <v>0</v>
      </c>
      <c r="CM59" s="11">
        <v>0</v>
      </c>
      <c r="CN59" s="11" t="s">
        <v>117</v>
      </c>
      <c r="CO59" s="11">
        <v>0</v>
      </c>
      <c r="CQ59">
        <f>SUMIFS([1]Working!$DC:$DC,[1]Working!$E:$E,H59)</f>
        <v>0</v>
      </c>
      <c r="CR59">
        <f t="shared" si="0"/>
        <v>0</v>
      </c>
    </row>
    <row r="60" spans="1:96" x14ac:dyDescent="0.35">
      <c r="A60" s="9" t="s">
        <v>93</v>
      </c>
      <c r="B60" s="9" t="s">
        <v>94</v>
      </c>
      <c r="C60" s="9">
        <v>92</v>
      </c>
      <c r="D60" s="9" t="s">
        <v>95</v>
      </c>
      <c r="E60" s="9" t="s">
        <v>346</v>
      </c>
      <c r="F60" s="9" t="s">
        <v>253</v>
      </c>
      <c r="G60" s="9" t="s">
        <v>362</v>
      </c>
      <c r="H60" s="9" t="s">
        <v>363</v>
      </c>
      <c r="I60" s="9" t="s">
        <v>364</v>
      </c>
      <c r="J60" s="9" t="s">
        <v>121</v>
      </c>
      <c r="K60" s="10">
        <v>43032</v>
      </c>
      <c r="L60" s="9" t="s">
        <v>256</v>
      </c>
      <c r="M60" s="9" t="s">
        <v>365</v>
      </c>
      <c r="N60" s="9"/>
      <c r="O60" s="9">
        <v>1</v>
      </c>
      <c r="P60" s="11" t="s">
        <v>101</v>
      </c>
      <c r="Q60" s="11" t="s">
        <v>102</v>
      </c>
      <c r="R60" s="11">
        <v>610219</v>
      </c>
      <c r="S60" s="11">
        <v>650067</v>
      </c>
      <c r="T60" s="11">
        <v>106.53</v>
      </c>
      <c r="U60" s="11">
        <v>487891</v>
      </c>
      <c r="V60" s="11">
        <v>79.953000000000003</v>
      </c>
      <c r="W60" s="11">
        <v>281363</v>
      </c>
      <c r="X60" s="11">
        <v>1000</v>
      </c>
      <c r="Y60" s="11">
        <v>0</v>
      </c>
      <c r="Z60" s="11">
        <v>46.109000000000002</v>
      </c>
      <c r="AA60" s="11">
        <v>22786</v>
      </c>
      <c r="AB60" s="11">
        <v>0</v>
      </c>
      <c r="AC60" s="11">
        <v>0</v>
      </c>
      <c r="AD60" s="11">
        <v>44564</v>
      </c>
      <c r="AE60" s="11">
        <v>44325</v>
      </c>
      <c r="AF60" s="11">
        <v>99.465000000000003</v>
      </c>
      <c r="AG60" s="11">
        <v>650067</v>
      </c>
      <c r="AH60" s="11">
        <v>0</v>
      </c>
      <c r="AI60" s="11">
        <v>0</v>
      </c>
      <c r="AJ60" s="11">
        <v>0.154</v>
      </c>
      <c r="AK60" s="11">
        <v>0</v>
      </c>
      <c r="AL60" s="11">
        <v>1</v>
      </c>
      <c r="AM60" s="11">
        <v>643462</v>
      </c>
      <c r="AN60" s="11">
        <v>664477</v>
      </c>
      <c r="AO60" s="11">
        <v>103.26600000000001</v>
      </c>
      <c r="AP60" s="11">
        <v>100</v>
      </c>
      <c r="AQ60" s="11">
        <v>5</v>
      </c>
      <c r="AR60" s="11">
        <v>0.9</v>
      </c>
      <c r="AS60" s="11">
        <v>1</v>
      </c>
      <c r="AT60" s="11">
        <v>640730</v>
      </c>
      <c r="AU60" s="11">
        <v>105</v>
      </c>
      <c r="AV60" s="11">
        <v>17940.446</v>
      </c>
      <c r="AW60" s="11" t="s">
        <v>103</v>
      </c>
      <c r="AX60" s="11">
        <v>1500</v>
      </c>
      <c r="AY60" s="11" t="s">
        <v>103</v>
      </c>
      <c r="AZ60" s="11">
        <v>0</v>
      </c>
      <c r="BA60" s="11" t="s">
        <v>123</v>
      </c>
      <c r="BB60" s="11">
        <v>38877</v>
      </c>
      <c r="BC60" s="11">
        <v>16082</v>
      </c>
      <c r="BD60" s="11">
        <v>41.366</v>
      </c>
      <c r="BE60" s="11">
        <v>287</v>
      </c>
      <c r="BF60" s="11">
        <v>120</v>
      </c>
      <c r="BG60" s="11">
        <v>41.872</v>
      </c>
      <c r="BH60" s="11">
        <v>0</v>
      </c>
      <c r="BI60" s="11">
        <v>0</v>
      </c>
      <c r="BJ60" s="11" t="s">
        <v>211</v>
      </c>
      <c r="BK60" s="11">
        <v>411695</v>
      </c>
      <c r="BL60" s="11">
        <v>433623</v>
      </c>
      <c r="BM60" s="11">
        <v>105.32599999999999</v>
      </c>
      <c r="BN60" s="11">
        <v>140650</v>
      </c>
      <c r="BO60" s="11">
        <v>213060</v>
      </c>
      <c r="BP60" s="11">
        <v>151.483</v>
      </c>
      <c r="BQ60" s="11">
        <v>1</v>
      </c>
      <c r="BR60" s="11">
        <v>2000</v>
      </c>
      <c r="BS60" s="11" t="s">
        <v>103</v>
      </c>
      <c r="BT60" s="11">
        <v>153403</v>
      </c>
      <c r="BU60" s="11">
        <v>156314</v>
      </c>
      <c r="BV60" s="11">
        <v>101.89700000000001</v>
      </c>
      <c r="BW60" s="11">
        <v>0</v>
      </c>
      <c r="BX60" s="11">
        <v>182179</v>
      </c>
      <c r="BY60" s="11">
        <v>199413</v>
      </c>
      <c r="BZ60" s="11">
        <v>109.46</v>
      </c>
      <c r="CA60" s="11">
        <v>199413</v>
      </c>
      <c r="CB60" s="11">
        <v>109.46</v>
      </c>
      <c r="CC60" s="11">
        <v>1</v>
      </c>
      <c r="CD60" s="11">
        <v>3000</v>
      </c>
      <c r="CE60" s="11" t="s">
        <v>103</v>
      </c>
      <c r="CF60" s="11">
        <v>27203</v>
      </c>
      <c r="CG60" s="11">
        <v>5068</v>
      </c>
      <c r="CH60" s="11">
        <v>18.63</v>
      </c>
      <c r="CI60" s="11">
        <v>8272</v>
      </c>
      <c r="CJ60" s="11">
        <v>5134</v>
      </c>
      <c r="CK60" s="11">
        <v>62.061</v>
      </c>
      <c r="CL60" s="11">
        <v>0</v>
      </c>
      <c r="CM60" s="11">
        <v>0</v>
      </c>
      <c r="CN60" s="11" t="s">
        <v>124</v>
      </c>
      <c r="CO60" s="11">
        <v>24440.446</v>
      </c>
      <c r="CQ60">
        <f>SUMIFS([1]Working!$DC:$DC,[1]Working!$E:$E,H60)</f>
        <v>24440.446459207989</v>
      </c>
      <c r="CR60">
        <f t="shared" si="0"/>
        <v>-4.5920798947918229E-4</v>
      </c>
    </row>
    <row r="61" spans="1:96" x14ac:dyDescent="0.35">
      <c r="A61" s="9" t="s">
        <v>93</v>
      </c>
      <c r="B61" s="9" t="s">
        <v>94</v>
      </c>
      <c r="C61" s="9">
        <v>92</v>
      </c>
      <c r="D61" s="9" t="s">
        <v>95</v>
      </c>
      <c r="E61" s="9" t="s">
        <v>346</v>
      </c>
      <c r="F61" s="9" t="s">
        <v>253</v>
      </c>
      <c r="G61" s="9" t="s">
        <v>366</v>
      </c>
      <c r="H61" s="9" t="s">
        <v>367</v>
      </c>
      <c r="I61" s="9" t="s">
        <v>368</v>
      </c>
      <c r="J61" s="9" t="s">
        <v>121</v>
      </c>
      <c r="K61" s="10">
        <v>43679</v>
      </c>
      <c r="L61" s="9" t="s">
        <v>256</v>
      </c>
      <c r="M61" s="9" t="s">
        <v>369</v>
      </c>
      <c r="N61" s="9"/>
      <c r="O61" s="9">
        <v>1</v>
      </c>
      <c r="P61" s="11" t="s">
        <v>101</v>
      </c>
      <c r="Q61" s="11" t="s">
        <v>102</v>
      </c>
      <c r="R61" s="11">
        <v>440852</v>
      </c>
      <c r="S61" s="11">
        <v>502804</v>
      </c>
      <c r="T61" s="11">
        <v>114.053</v>
      </c>
      <c r="U61" s="11">
        <v>433307</v>
      </c>
      <c r="V61" s="11">
        <v>98.289000000000001</v>
      </c>
      <c r="W61" s="11">
        <v>96420</v>
      </c>
      <c r="X61" s="11">
        <v>5275</v>
      </c>
      <c r="Y61" s="11">
        <v>0</v>
      </c>
      <c r="Z61" s="11">
        <v>21.870999999999999</v>
      </c>
      <c r="AA61" s="11">
        <v>55256</v>
      </c>
      <c r="AB61" s="11">
        <v>57200</v>
      </c>
      <c r="AC61" s="11">
        <v>103.517</v>
      </c>
      <c r="AD61" s="11">
        <v>52227</v>
      </c>
      <c r="AE61" s="11">
        <v>184618</v>
      </c>
      <c r="AF61" s="11">
        <v>353.488</v>
      </c>
      <c r="AG61" s="11">
        <v>500167</v>
      </c>
      <c r="AH61" s="11">
        <v>0</v>
      </c>
      <c r="AI61" s="11">
        <v>0</v>
      </c>
      <c r="AJ61" s="11">
        <v>1.0489999999999999</v>
      </c>
      <c r="AK61" s="11">
        <v>2638</v>
      </c>
      <c r="AL61" s="11">
        <v>1</v>
      </c>
      <c r="AM61" s="11">
        <v>476829</v>
      </c>
      <c r="AN61" s="11">
        <v>122223</v>
      </c>
      <c r="AO61" s="11">
        <v>25.632000000000001</v>
      </c>
      <c r="AP61" s="11">
        <v>100</v>
      </c>
      <c r="AQ61" s="11">
        <v>8</v>
      </c>
      <c r="AR61" s="11">
        <v>1</v>
      </c>
      <c r="AS61" s="11">
        <v>1</v>
      </c>
      <c r="AT61" s="11">
        <v>462894</v>
      </c>
      <c r="AU61" s="11">
        <v>105</v>
      </c>
      <c r="AV61" s="11">
        <v>0</v>
      </c>
      <c r="AW61" s="11" t="s">
        <v>228</v>
      </c>
      <c r="AX61" s="11">
        <v>0</v>
      </c>
      <c r="AY61" s="11" t="s">
        <v>130</v>
      </c>
      <c r="AZ61" s="11">
        <v>0</v>
      </c>
      <c r="BA61" s="11" t="s">
        <v>123</v>
      </c>
      <c r="BB61" s="11">
        <v>29099</v>
      </c>
      <c r="BC61" s="11">
        <v>3629</v>
      </c>
      <c r="BD61" s="11">
        <v>12.47</v>
      </c>
      <c r="BE61" s="11">
        <v>214</v>
      </c>
      <c r="BF61" s="11">
        <v>23</v>
      </c>
      <c r="BG61" s="11">
        <v>10.57</v>
      </c>
      <c r="BH61" s="11">
        <v>0</v>
      </c>
      <c r="BI61" s="11">
        <v>0</v>
      </c>
      <c r="BJ61" s="11" t="s">
        <v>211</v>
      </c>
      <c r="BK61" s="11">
        <v>241735</v>
      </c>
      <c r="BL61" s="11">
        <v>112106</v>
      </c>
      <c r="BM61" s="11">
        <v>46.375</v>
      </c>
      <c r="BN61" s="11">
        <v>89208</v>
      </c>
      <c r="BO61" s="11">
        <v>32406</v>
      </c>
      <c r="BP61" s="11">
        <v>36.326000000000001</v>
      </c>
      <c r="BQ61" s="11">
        <v>0</v>
      </c>
      <c r="BR61" s="11">
        <v>0</v>
      </c>
      <c r="BS61" s="11" t="s">
        <v>197</v>
      </c>
      <c r="BT61" s="11">
        <v>47052</v>
      </c>
      <c r="BU61" s="11">
        <v>19035</v>
      </c>
      <c r="BV61" s="11">
        <v>40.454000000000001</v>
      </c>
      <c r="BW61" s="11">
        <v>0</v>
      </c>
      <c r="BX61" s="11">
        <v>51964</v>
      </c>
      <c r="BY61" s="11">
        <v>19003</v>
      </c>
      <c r="BZ61" s="11">
        <v>36.569000000000003</v>
      </c>
      <c r="CA61" s="11">
        <v>19003</v>
      </c>
      <c r="CB61" s="11">
        <v>36.569000000000003</v>
      </c>
      <c r="CC61" s="11">
        <v>0</v>
      </c>
      <c r="CD61" s="11">
        <v>0</v>
      </c>
      <c r="CE61" s="11" t="s">
        <v>140</v>
      </c>
      <c r="CF61" s="11">
        <v>16208</v>
      </c>
      <c r="CG61" s="11">
        <v>-131</v>
      </c>
      <c r="CH61" s="11">
        <v>-0.81100000000000005</v>
      </c>
      <c r="CI61" s="11">
        <v>8272</v>
      </c>
      <c r="CJ61" s="11">
        <v>0</v>
      </c>
      <c r="CK61" s="11">
        <v>0</v>
      </c>
      <c r="CL61" s="11">
        <v>0</v>
      </c>
      <c r="CM61" s="11">
        <v>0</v>
      </c>
      <c r="CN61" s="11" t="s">
        <v>124</v>
      </c>
      <c r="CO61" s="11">
        <v>0</v>
      </c>
      <c r="CQ61">
        <f>SUMIFS([1]Working!$DC:$DC,[1]Working!$E:$E,H61)</f>
        <v>0</v>
      </c>
      <c r="CR61">
        <f t="shared" si="0"/>
        <v>0</v>
      </c>
    </row>
    <row r="62" spans="1:96" x14ac:dyDescent="0.35">
      <c r="A62" s="9" t="s">
        <v>93</v>
      </c>
      <c r="B62" s="9" t="s">
        <v>94</v>
      </c>
      <c r="C62" s="9">
        <v>92</v>
      </c>
      <c r="D62" s="9" t="s">
        <v>95</v>
      </c>
      <c r="E62" s="9" t="s">
        <v>346</v>
      </c>
      <c r="F62" s="9" t="s">
        <v>253</v>
      </c>
      <c r="G62" s="9" t="s">
        <v>370</v>
      </c>
      <c r="H62" s="9" t="s">
        <v>371</v>
      </c>
      <c r="I62" s="9" t="s">
        <v>372</v>
      </c>
      <c r="J62" s="9" t="s">
        <v>121</v>
      </c>
      <c r="K62" s="10">
        <v>44250</v>
      </c>
      <c r="L62" s="9" t="s">
        <v>256</v>
      </c>
      <c r="M62" s="9" t="s">
        <v>373</v>
      </c>
      <c r="N62" s="9"/>
      <c r="O62" s="9">
        <v>1</v>
      </c>
      <c r="P62" s="11" t="s">
        <v>101</v>
      </c>
      <c r="Q62" s="11" t="s">
        <v>102</v>
      </c>
      <c r="R62" s="11">
        <v>374934</v>
      </c>
      <c r="S62" s="11">
        <v>351863</v>
      </c>
      <c r="T62" s="11">
        <v>93.846999999999994</v>
      </c>
      <c r="U62" s="11">
        <v>402397</v>
      </c>
      <c r="V62" s="11">
        <v>107.325</v>
      </c>
      <c r="W62" s="11">
        <v>-21012</v>
      </c>
      <c r="X62" s="11">
        <v>0</v>
      </c>
      <c r="Y62" s="11">
        <v>36738</v>
      </c>
      <c r="Z62" s="11">
        <v>-5.6040000000000001</v>
      </c>
      <c r="AA62" s="11">
        <v>42397</v>
      </c>
      <c r="AB62" s="11">
        <v>4919</v>
      </c>
      <c r="AC62" s="11">
        <v>11.603</v>
      </c>
      <c r="AD62" s="11">
        <v>32966</v>
      </c>
      <c r="AE62" s="11">
        <v>49950</v>
      </c>
      <c r="AF62" s="11">
        <v>151.51900000000001</v>
      </c>
      <c r="AG62" s="11">
        <v>334879</v>
      </c>
      <c r="AH62" s="11">
        <v>16984</v>
      </c>
      <c r="AI62" s="11">
        <v>10.971</v>
      </c>
      <c r="AJ62" s="11">
        <v>0</v>
      </c>
      <c r="AK62" s="11">
        <v>0</v>
      </c>
      <c r="AL62" s="11">
        <v>0</v>
      </c>
      <c r="AM62" s="11">
        <v>425037</v>
      </c>
      <c r="AN62" s="11">
        <v>431983</v>
      </c>
      <c r="AO62" s="11">
        <v>101.634</v>
      </c>
      <c r="AP62" s="11">
        <v>100</v>
      </c>
      <c r="AQ62" s="11">
        <v>7</v>
      </c>
      <c r="AR62" s="11">
        <v>1</v>
      </c>
      <c r="AS62" s="11">
        <v>1</v>
      </c>
      <c r="AT62" s="11">
        <v>334879</v>
      </c>
      <c r="AU62" s="11">
        <v>89.316999999999993</v>
      </c>
      <c r="AV62" s="11">
        <v>0</v>
      </c>
      <c r="AW62" s="11" t="s">
        <v>113</v>
      </c>
      <c r="AX62" s="11">
        <v>0</v>
      </c>
      <c r="AY62" s="11" t="s">
        <v>158</v>
      </c>
      <c r="AZ62" s="11">
        <v>0</v>
      </c>
      <c r="BA62" s="11" t="s">
        <v>123</v>
      </c>
      <c r="BB62" s="11">
        <v>24252</v>
      </c>
      <c r="BC62" s="11">
        <v>11550</v>
      </c>
      <c r="BD62" s="11">
        <v>47.628</v>
      </c>
      <c r="BE62" s="11">
        <v>179</v>
      </c>
      <c r="BF62" s="11">
        <v>80</v>
      </c>
      <c r="BG62" s="11">
        <v>44.576999999999998</v>
      </c>
      <c r="BH62" s="11">
        <v>0</v>
      </c>
      <c r="BI62" s="11">
        <v>0</v>
      </c>
      <c r="BJ62" s="11" t="s">
        <v>160</v>
      </c>
      <c r="BK62" s="11">
        <v>248744</v>
      </c>
      <c r="BL62" s="11">
        <v>218565</v>
      </c>
      <c r="BM62" s="11">
        <v>87.867999999999995</v>
      </c>
      <c r="BN62" s="11">
        <v>132727</v>
      </c>
      <c r="BO62" s="11">
        <v>209310</v>
      </c>
      <c r="BP62" s="11">
        <v>157.69999999999999</v>
      </c>
      <c r="BQ62" s="11">
        <v>1</v>
      </c>
      <c r="BR62" s="11">
        <v>0</v>
      </c>
      <c r="BS62" s="11" t="s">
        <v>114</v>
      </c>
      <c r="BT62" s="11">
        <v>31221</v>
      </c>
      <c r="BU62" s="11">
        <v>9770</v>
      </c>
      <c r="BV62" s="11">
        <v>31.291</v>
      </c>
      <c r="BW62" s="11">
        <v>0</v>
      </c>
      <c r="BX62" s="11">
        <v>38986</v>
      </c>
      <c r="BY62" s="11">
        <v>9770</v>
      </c>
      <c r="BZ62" s="11">
        <v>25.059000000000001</v>
      </c>
      <c r="CA62" s="11">
        <v>9770</v>
      </c>
      <c r="CB62" s="11">
        <v>25.059000000000001</v>
      </c>
      <c r="CC62" s="11">
        <v>0</v>
      </c>
      <c r="CD62" s="11">
        <v>0</v>
      </c>
      <c r="CE62" s="11" t="s">
        <v>161</v>
      </c>
      <c r="CF62" s="11">
        <v>10383</v>
      </c>
      <c r="CG62" s="11">
        <v>0</v>
      </c>
      <c r="CH62" s="11">
        <v>0</v>
      </c>
      <c r="CI62" s="11">
        <v>8272</v>
      </c>
      <c r="CJ62" s="11">
        <v>0</v>
      </c>
      <c r="CK62" s="11">
        <v>0</v>
      </c>
      <c r="CL62" s="11">
        <v>0</v>
      </c>
      <c r="CM62" s="11">
        <v>0</v>
      </c>
      <c r="CN62" s="11" t="s">
        <v>117</v>
      </c>
      <c r="CO62" s="11">
        <v>0</v>
      </c>
      <c r="CQ62">
        <f>SUMIFS([1]Working!$DC:$DC,[1]Working!$E:$E,H62)</f>
        <v>0</v>
      </c>
      <c r="CR62">
        <f t="shared" si="0"/>
        <v>0</v>
      </c>
    </row>
    <row r="63" spans="1:96" x14ac:dyDescent="0.35">
      <c r="A63" s="9" t="s">
        <v>93</v>
      </c>
      <c r="B63" s="9" t="s">
        <v>94</v>
      </c>
      <c r="C63" s="9">
        <v>92</v>
      </c>
      <c r="D63" s="9" t="s">
        <v>95</v>
      </c>
      <c r="E63" s="9" t="s">
        <v>346</v>
      </c>
      <c r="F63" s="9" t="s">
        <v>253</v>
      </c>
      <c r="G63" s="9" t="s">
        <v>374</v>
      </c>
      <c r="H63" s="9" t="s">
        <v>375</v>
      </c>
      <c r="I63" s="9" t="s">
        <v>376</v>
      </c>
      <c r="J63" s="9" t="s">
        <v>121</v>
      </c>
      <c r="K63" s="10">
        <v>44287</v>
      </c>
      <c r="L63" s="9" t="s">
        <v>256</v>
      </c>
      <c r="M63" s="9" t="s">
        <v>377</v>
      </c>
      <c r="N63" s="9"/>
      <c r="O63" s="9">
        <v>1</v>
      </c>
      <c r="P63" s="11" t="s">
        <v>101</v>
      </c>
      <c r="Q63" s="11" t="s">
        <v>102</v>
      </c>
      <c r="R63" s="11">
        <v>416778</v>
      </c>
      <c r="S63" s="11">
        <v>442229</v>
      </c>
      <c r="T63" s="11">
        <v>106.107</v>
      </c>
      <c r="U63" s="11">
        <v>471371</v>
      </c>
      <c r="V63" s="11">
        <v>113.099</v>
      </c>
      <c r="W63" s="11">
        <v>170415</v>
      </c>
      <c r="X63" s="11">
        <v>821</v>
      </c>
      <c r="Y63" s="11">
        <v>0</v>
      </c>
      <c r="Z63" s="11">
        <v>40.889000000000003</v>
      </c>
      <c r="AA63" s="11">
        <v>15967</v>
      </c>
      <c r="AB63" s="11">
        <v>17520</v>
      </c>
      <c r="AC63" s="11">
        <v>109.724</v>
      </c>
      <c r="AD63" s="11">
        <v>31827</v>
      </c>
      <c r="AE63" s="11">
        <v>72150</v>
      </c>
      <c r="AF63" s="11">
        <v>226.696</v>
      </c>
      <c r="AG63" s="11">
        <v>442229</v>
      </c>
      <c r="AH63" s="11">
        <v>0</v>
      </c>
      <c r="AI63" s="11">
        <v>0</v>
      </c>
      <c r="AJ63" s="11">
        <v>0.186</v>
      </c>
      <c r="AK63" s="11">
        <v>0</v>
      </c>
      <c r="AL63" s="11">
        <v>1</v>
      </c>
      <c r="AM63" s="11">
        <v>440855</v>
      </c>
      <c r="AN63" s="11">
        <v>451382</v>
      </c>
      <c r="AO63" s="11">
        <v>102.38800000000001</v>
      </c>
      <c r="AP63" s="11">
        <v>100</v>
      </c>
      <c r="AQ63" s="11">
        <v>6</v>
      </c>
      <c r="AR63" s="11">
        <v>0.9</v>
      </c>
      <c r="AS63" s="11">
        <v>1</v>
      </c>
      <c r="AT63" s="11">
        <v>437617</v>
      </c>
      <c r="AU63" s="11">
        <v>105</v>
      </c>
      <c r="AV63" s="11">
        <v>12253.279</v>
      </c>
      <c r="AW63" s="11" t="s">
        <v>103</v>
      </c>
      <c r="AX63" s="11">
        <v>1500</v>
      </c>
      <c r="AY63" s="11" t="s">
        <v>103</v>
      </c>
      <c r="AZ63" s="11">
        <v>0</v>
      </c>
      <c r="BA63" s="11" t="s">
        <v>123</v>
      </c>
      <c r="BB63" s="11">
        <v>33032</v>
      </c>
      <c r="BC63" s="11">
        <v>34274</v>
      </c>
      <c r="BD63" s="11">
        <v>103.758</v>
      </c>
      <c r="BE63" s="11">
        <v>243</v>
      </c>
      <c r="BF63" s="11">
        <v>261</v>
      </c>
      <c r="BG63" s="11">
        <v>107.416</v>
      </c>
      <c r="BH63" s="11">
        <v>1</v>
      </c>
      <c r="BI63" s="11">
        <v>2000</v>
      </c>
      <c r="BJ63" s="11" t="s">
        <v>103</v>
      </c>
      <c r="BK63" s="11">
        <v>279441</v>
      </c>
      <c r="BL63" s="11">
        <v>317433</v>
      </c>
      <c r="BM63" s="11">
        <v>113.596</v>
      </c>
      <c r="BN63" s="11">
        <v>141353</v>
      </c>
      <c r="BO63" s="11">
        <v>155665</v>
      </c>
      <c r="BP63" s="11">
        <v>110.125</v>
      </c>
      <c r="BQ63" s="11">
        <v>1</v>
      </c>
      <c r="BR63" s="11">
        <v>2000</v>
      </c>
      <c r="BS63" s="11" t="s">
        <v>103</v>
      </c>
      <c r="BT63" s="11">
        <v>59365</v>
      </c>
      <c r="BU63" s="11">
        <v>63502</v>
      </c>
      <c r="BV63" s="11">
        <v>106.96899999999999</v>
      </c>
      <c r="BW63" s="11">
        <v>0</v>
      </c>
      <c r="BX63" s="11">
        <v>68124</v>
      </c>
      <c r="BY63" s="11">
        <v>67006</v>
      </c>
      <c r="BZ63" s="11">
        <v>98.358999999999995</v>
      </c>
      <c r="CA63" s="11">
        <v>67006</v>
      </c>
      <c r="CB63" s="11">
        <v>98.358999999999995</v>
      </c>
      <c r="CC63" s="11">
        <v>0</v>
      </c>
      <c r="CD63" s="11">
        <v>0</v>
      </c>
      <c r="CE63" s="11" t="s">
        <v>140</v>
      </c>
      <c r="CF63" s="11">
        <v>20964</v>
      </c>
      <c r="CG63" s="11">
        <v>42968</v>
      </c>
      <c r="CH63" s="11">
        <v>204.965</v>
      </c>
      <c r="CI63" s="11">
        <v>8272</v>
      </c>
      <c r="CJ63" s="11">
        <v>0</v>
      </c>
      <c r="CK63" s="11">
        <v>0</v>
      </c>
      <c r="CL63" s="11">
        <v>1</v>
      </c>
      <c r="CM63" s="11">
        <v>0</v>
      </c>
      <c r="CN63" s="11" t="s">
        <v>153</v>
      </c>
      <c r="CO63" s="11">
        <v>17753.278999999999</v>
      </c>
      <c r="CQ63">
        <f>SUMIFS([1]Working!$DC:$DC,[1]Working!$E:$E,H63)</f>
        <v>17753.279280802006</v>
      </c>
      <c r="CR63">
        <f t="shared" si="0"/>
        <v>-2.8080200718250126E-4</v>
      </c>
    </row>
    <row r="64" spans="1:96" x14ac:dyDescent="0.35">
      <c r="A64" s="9" t="s">
        <v>93</v>
      </c>
      <c r="B64" s="9" t="s">
        <v>94</v>
      </c>
      <c r="C64" s="9">
        <v>92</v>
      </c>
      <c r="D64" s="9" t="s">
        <v>95</v>
      </c>
      <c r="E64" s="9" t="s">
        <v>346</v>
      </c>
      <c r="F64" s="9" t="s">
        <v>253</v>
      </c>
      <c r="G64" s="9" t="s">
        <v>378</v>
      </c>
      <c r="H64" s="9" t="s">
        <v>379</v>
      </c>
      <c r="I64" s="9" t="s">
        <v>380</v>
      </c>
      <c r="J64" s="9" t="s">
        <v>121</v>
      </c>
      <c r="K64" s="10">
        <v>45069</v>
      </c>
      <c r="L64" s="9" t="s">
        <v>256</v>
      </c>
      <c r="M64" s="9" t="s">
        <v>381</v>
      </c>
      <c r="N64" s="9"/>
      <c r="O64" s="9">
        <v>1</v>
      </c>
      <c r="P64" s="11" t="s">
        <v>101</v>
      </c>
      <c r="Q64" s="11" t="s">
        <v>102</v>
      </c>
      <c r="R64" s="11">
        <v>356408</v>
      </c>
      <c r="S64" s="11">
        <v>424314</v>
      </c>
      <c r="T64" s="11">
        <v>119.053</v>
      </c>
      <c r="U64" s="11">
        <v>565816</v>
      </c>
      <c r="V64" s="11">
        <v>158.755</v>
      </c>
      <c r="W64" s="11">
        <v>150246</v>
      </c>
      <c r="X64" s="11">
        <v>3569</v>
      </c>
      <c r="Y64" s="11">
        <v>0</v>
      </c>
      <c r="Z64" s="11">
        <v>42.155999999999999</v>
      </c>
      <c r="AA64" s="11">
        <v>23025</v>
      </c>
      <c r="AB64" s="11">
        <v>25190</v>
      </c>
      <c r="AC64" s="11">
        <v>109.405</v>
      </c>
      <c r="AD64" s="11">
        <v>41734</v>
      </c>
      <c r="AE64" s="11">
        <v>49950</v>
      </c>
      <c r="AF64" s="11">
        <v>119.687</v>
      </c>
      <c r="AG64" s="11">
        <v>393086</v>
      </c>
      <c r="AH64" s="11">
        <v>0</v>
      </c>
      <c r="AI64" s="11">
        <v>0</v>
      </c>
      <c r="AJ64" s="11">
        <v>0.90400000000000003</v>
      </c>
      <c r="AK64" s="11">
        <v>1785</v>
      </c>
      <c r="AL64" s="11">
        <v>1</v>
      </c>
      <c r="AM64" s="11">
        <v>411443</v>
      </c>
      <c r="AN64" s="11">
        <v>415474</v>
      </c>
      <c r="AO64" s="11">
        <v>100.98</v>
      </c>
      <c r="AP64" s="11">
        <v>98</v>
      </c>
      <c r="AQ64" s="11">
        <v>5</v>
      </c>
      <c r="AR64" s="11">
        <v>0.9</v>
      </c>
      <c r="AS64" s="11">
        <v>1</v>
      </c>
      <c r="AT64" s="11">
        <v>374228</v>
      </c>
      <c r="AU64" s="11">
        <v>105</v>
      </c>
      <c r="AV64" s="11">
        <v>10478.385</v>
      </c>
      <c r="AW64" s="11" t="s">
        <v>103</v>
      </c>
      <c r="AX64" s="11">
        <v>1500</v>
      </c>
      <c r="AY64" s="11" t="s">
        <v>103</v>
      </c>
      <c r="AZ64" s="11">
        <v>0</v>
      </c>
      <c r="BA64" s="11" t="s">
        <v>123</v>
      </c>
      <c r="BB64" s="11">
        <v>39894</v>
      </c>
      <c r="BC64" s="11">
        <v>55123</v>
      </c>
      <c r="BD64" s="11">
        <v>138.17500000000001</v>
      </c>
      <c r="BE64" s="11">
        <v>294</v>
      </c>
      <c r="BF64" s="11">
        <v>395</v>
      </c>
      <c r="BG64" s="11">
        <v>134.245</v>
      </c>
      <c r="BH64" s="11">
        <v>1</v>
      </c>
      <c r="BI64" s="11">
        <v>2000</v>
      </c>
      <c r="BJ64" s="11" t="s">
        <v>103</v>
      </c>
      <c r="BK64" s="11">
        <v>243575</v>
      </c>
      <c r="BL64" s="11">
        <v>278986</v>
      </c>
      <c r="BM64" s="11">
        <v>114.538</v>
      </c>
      <c r="BN64" s="11">
        <v>115054</v>
      </c>
      <c r="BO64" s="11">
        <v>141674</v>
      </c>
      <c r="BP64" s="11">
        <v>123.137</v>
      </c>
      <c r="BQ64" s="11">
        <v>1</v>
      </c>
      <c r="BR64" s="11">
        <v>2000</v>
      </c>
      <c r="BS64" s="11" t="s">
        <v>103</v>
      </c>
      <c r="BT64" s="11">
        <v>43330</v>
      </c>
      <c r="BU64" s="11">
        <v>77107</v>
      </c>
      <c r="BV64" s="11">
        <v>177.953</v>
      </c>
      <c r="BW64" s="11">
        <v>29444</v>
      </c>
      <c r="BX64" s="11">
        <v>46537</v>
      </c>
      <c r="BY64" s="11">
        <v>79735</v>
      </c>
      <c r="BZ64" s="11">
        <v>171.33699999999999</v>
      </c>
      <c r="CA64" s="11">
        <v>50291</v>
      </c>
      <c r="CB64" s="11">
        <v>108.06699999999999</v>
      </c>
      <c r="CC64" s="11">
        <v>1</v>
      </c>
      <c r="CD64" s="11">
        <v>1500</v>
      </c>
      <c r="CE64" s="11" t="s">
        <v>103</v>
      </c>
      <c r="CF64" s="11">
        <v>19067</v>
      </c>
      <c r="CG64" s="11">
        <v>6709</v>
      </c>
      <c r="CH64" s="11">
        <v>35.186999999999998</v>
      </c>
      <c r="CI64" s="11">
        <v>8272</v>
      </c>
      <c r="CJ64" s="11">
        <v>6709</v>
      </c>
      <c r="CK64" s="11">
        <v>81.103999999999999</v>
      </c>
      <c r="CL64" s="11">
        <v>0</v>
      </c>
      <c r="CM64" s="11">
        <v>0</v>
      </c>
      <c r="CN64" s="11" t="s">
        <v>124</v>
      </c>
      <c r="CO64" s="11">
        <v>17478.384999999998</v>
      </c>
      <c r="CQ64">
        <f>SUMIFS([1]Working!$DC:$DC,[1]Working!$E:$E,H64)</f>
        <v>17478.384697143993</v>
      </c>
      <c r="CR64">
        <f t="shared" si="0"/>
        <v>3.0285600587376393E-4</v>
      </c>
    </row>
    <row r="65" spans="1:96" x14ac:dyDescent="0.35">
      <c r="A65" s="9" t="s">
        <v>93</v>
      </c>
      <c r="B65" s="9" t="s">
        <v>94</v>
      </c>
      <c r="C65" s="9">
        <v>92</v>
      </c>
      <c r="D65" s="9" t="s">
        <v>95</v>
      </c>
      <c r="E65" s="9" t="s">
        <v>346</v>
      </c>
      <c r="F65" s="9" t="s">
        <v>253</v>
      </c>
      <c r="G65" s="9" t="s">
        <v>382</v>
      </c>
      <c r="H65" s="9" t="s">
        <v>383</v>
      </c>
      <c r="I65" s="9" t="s">
        <v>384</v>
      </c>
      <c r="J65" s="9" t="s">
        <v>121</v>
      </c>
      <c r="K65" s="9"/>
      <c r="L65" s="9" t="s">
        <v>256</v>
      </c>
      <c r="M65" s="9" t="s">
        <v>385</v>
      </c>
      <c r="N65" s="9"/>
      <c r="O65" s="9">
        <v>1</v>
      </c>
      <c r="P65" s="11" t="s">
        <v>101</v>
      </c>
      <c r="Q65" s="11" t="s">
        <v>102</v>
      </c>
      <c r="R65" s="11">
        <v>533654</v>
      </c>
      <c r="S65" s="11">
        <v>-101958</v>
      </c>
      <c r="T65" s="11">
        <v>-19.106000000000002</v>
      </c>
      <c r="U65" s="11">
        <v>84460</v>
      </c>
      <c r="V65" s="11">
        <v>15.827</v>
      </c>
      <c r="W65" s="11">
        <v>-80275</v>
      </c>
      <c r="X65" s="11">
        <v>21682</v>
      </c>
      <c r="Y65" s="11">
        <v>190378</v>
      </c>
      <c r="Z65" s="11">
        <v>-15.042999999999999</v>
      </c>
      <c r="AA65" s="11">
        <v>31486</v>
      </c>
      <c r="AB65" s="11">
        <v>-28771</v>
      </c>
      <c r="AC65" s="11">
        <v>-91.375</v>
      </c>
      <c r="AD65" s="11">
        <v>12772</v>
      </c>
      <c r="AE65" s="11">
        <v>9250</v>
      </c>
      <c r="AF65" s="11">
        <v>72.426000000000002</v>
      </c>
      <c r="AG65" s="11">
        <v>-101958</v>
      </c>
      <c r="AH65" s="11">
        <v>0</v>
      </c>
      <c r="AI65" s="11">
        <v>-186.72300000000001</v>
      </c>
      <c r="AJ65" s="11">
        <v>-21.265999999999998</v>
      </c>
      <c r="AK65" s="11">
        <v>0</v>
      </c>
      <c r="AL65" s="11">
        <v>0</v>
      </c>
      <c r="AM65" s="11"/>
      <c r="AN65" s="11"/>
      <c r="AO65" s="11"/>
      <c r="AP65" s="11">
        <v>0</v>
      </c>
      <c r="AQ65" s="11">
        <v>0</v>
      </c>
      <c r="AR65" s="11">
        <v>0.9</v>
      </c>
      <c r="AS65" s="11">
        <v>0.9</v>
      </c>
      <c r="AT65" s="11">
        <v>-101958</v>
      </c>
      <c r="AU65" s="11">
        <v>-19.106000000000002</v>
      </c>
      <c r="AV65" s="11">
        <v>0</v>
      </c>
      <c r="AW65" s="11" t="s">
        <v>386</v>
      </c>
      <c r="AX65" s="11">
        <v>0</v>
      </c>
      <c r="AY65" s="11" t="s">
        <v>387</v>
      </c>
      <c r="AZ65" s="11">
        <v>0</v>
      </c>
      <c r="BA65" s="11" t="s">
        <v>388</v>
      </c>
      <c r="BB65" s="11">
        <v>26080</v>
      </c>
      <c r="BC65" s="11">
        <v>-13789</v>
      </c>
      <c r="BD65" s="11">
        <v>-52.871000000000002</v>
      </c>
      <c r="BE65" s="11">
        <v>192</v>
      </c>
      <c r="BF65" s="11">
        <v>-114</v>
      </c>
      <c r="BG65" s="11">
        <v>-59.323</v>
      </c>
      <c r="BH65" s="11">
        <v>0</v>
      </c>
      <c r="BI65" s="11">
        <v>0</v>
      </c>
      <c r="BJ65" s="11" t="s">
        <v>389</v>
      </c>
      <c r="BK65" s="11">
        <v>443029</v>
      </c>
      <c r="BL65" s="11">
        <v>-116776</v>
      </c>
      <c r="BM65" s="11">
        <v>-26.358000000000001</v>
      </c>
      <c r="BN65" s="11">
        <v>117332</v>
      </c>
      <c r="BO65" s="11">
        <v>-50900</v>
      </c>
      <c r="BP65" s="11">
        <v>-43.381</v>
      </c>
      <c r="BQ65" s="11">
        <v>0</v>
      </c>
      <c r="BR65" s="11">
        <v>0</v>
      </c>
      <c r="BS65" s="11" t="s">
        <v>390</v>
      </c>
      <c r="BT65" s="11">
        <v>248519</v>
      </c>
      <c r="BU65" s="11">
        <v>-37833</v>
      </c>
      <c r="BV65" s="11">
        <v>-15.223000000000001</v>
      </c>
      <c r="BW65" s="11">
        <v>0</v>
      </c>
      <c r="BX65" s="11">
        <v>249483</v>
      </c>
      <c r="BY65" s="11">
        <v>-37833</v>
      </c>
      <c r="BZ65" s="11">
        <v>-15.164999999999999</v>
      </c>
      <c r="CA65" s="11">
        <v>-37833</v>
      </c>
      <c r="CB65" s="11">
        <v>-15.164999999999999</v>
      </c>
      <c r="CC65" s="11">
        <v>0</v>
      </c>
      <c r="CD65" s="11">
        <v>0</v>
      </c>
      <c r="CE65" s="11" t="s">
        <v>391</v>
      </c>
      <c r="CF65" s="11">
        <v>18648</v>
      </c>
      <c r="CG65" s="11">
        <v>14517</v>
      </c>
      <c r="CH65" s="11">
        <v>77.846999999999994</v>
      </c>
      <c r="CI65" s="11">
        <v>8272</v>
      </c>
      <c r="CJ65" s="11">
        <v>0</v>
      </c>
      <c r="CK65" s="11">
        <v>0</v>
      </c>
      <c r="CL65" s="11">
        <v>0</v>
      </c>
      <c r="CM65" s="11">
        <v>0</v>
      </c>
      <c r="CN65" s="11" t="s">
        <v>392</v>
      </c>
      <c r="CO65" s="11">
        <v>0</v>
      </c>
      <c r="CQ65">
        <f>SUMIFS([1]Working!$DC:$DC,[1]Working!$E:$E,H65)</f>
        <v>0</v>
      </c>
      <c r="CR65">
        <f t="shared" si="0"/>
        <v>0</v>
      </c>
    </row>
    <row r="66" spans="1:96" x14ac:dyDescent="0.35">
      <c r="A66" s="9" t="s">
        <v>93</v>
      </c>
      <c r="B66" s="9" t="s">
        <v>94</v>
      </c>
      <c r="C66" s="9">
        <v>92</v>
      </c>
      <c r="D66" s="9" t="s">
        <v>95</v>
      </c>
      <c r="E66" s="9" t="s">
        <v>346</v>
      </c>
      <c r="F66" s="9" t="s">
        <v>253</v>
      </c>
      <c r="G66" s="9" t="s">
        <v>393</v>
      </c>
      <c r="H66" s="9" t="s">
        <v>394</v>
      </c>
      <c r="I66" s="9" t="s">
        <v>395</v>
      </c>
      <c r="J66" s="9" t="s">
        <v>121</v>
      </c>
      <c r="K66" s="10">
        <v>45315</v>
      </c>
      <c r="L66" s="9" t="s">
        <v>256</v>
      </c>
      <c r="M66" s="9" t="s">
        <v>396</v>
      </c>
      <c r="N66" s="9"/>
      <c r="O66" s="9">
        <v>1</v>
      </c>
      <c r="P66" s="11" t="s">
        <v>101</v>
      </c>
      <c r="Q66" s="11" t="s">
        <v>102</v>
      </c>
      <c r="R66" s="11">
        <v>415718</v>
      </c>
      <c r="S66" s="11">
        <v>602793</v>
      </c>
      <c r="T66" s="11">
        <v>145.001</v>
      </c>
      <c r="U66" s="11">
        <v>598333</v>
      </c>
      <c r="V66" s="11">
        <v>143.928</v>
      </c>
      <c r="W66" s="11">
        <v>266009</v>
      </c>
      <c r="X66" s="11">
        <v>79642</v>
      </c>
      <c r="Y66" s="11">
        <v>0</v>
      </c>
      <c r="Z66" s="11">
        <v>63.988</v>
      </c>
      <c r="AA66" s="11">
        <v>21507</v>
      </c>
      <c r="AB66" s="11">
        <v>0</v>
      </c>
      <c r="AC66" s="11">
        <v>0</v>
      </c>
      <c r="AD66" s="11">
        <v>28621</v>
      </c>
      <c r="AE66" s="11">
        <v>49950</v>
      </c>
      <c r="AF66" s="11">
        <v>174.52199999999999</v>
      </c>
      <c r="AG66" s="11">
        <v>488835</v>
      </c>
      <c r="AH66" s="11">
        <v>74137</v>
      </c>
      <c r="AI66" s="11">
        <v>0</v>
      </c>
      <c r="AJ66" s="11">
        <v>15.065</v>
      </c>
      <c r="AK66" s="11">
        <v>39821</v>
      </c>
      <c r="AL66" s="11">
        <v>1</v>
      </c>
      <c r="AM66" s="11">
        <v>452714</v>
      </c>
      <c r="AN66" s="11">
        <v>463003</v>
      </c>
      <c r="AO66" s="11">
        <v>102.273</v>
      </c>
      <c r="AP66" s="11">
        <v>100</v>
      </c>
      <c r="AQ66" s="11">
        <v>7</v>
      </c>
      <c r="AR66" s="11">
        <v>1</v>
      </c>
      <c r="AS66" s="11">
        <v>1</v>
      </c>
      <c r="AT66" s="11">
        <v>436504</v>
      </c>
      <c r="AU66" s="11">
        <v>105</v>
      </c>
      <c r="AV66" s="11">
        <v>12222.098</v>
      </c>
      <c r="AW66" s="11" t="s">
        <v>103</v>
      </c>
      <c r="AX66" s="11">
        <v>1500</v>
      </c>
      <c r="AY66" s="11" t="s">
        <v>103</v>
      </c>
      <c r="AZ66" s="11">
        <v>0</v>
      </c>
      <c r="BA66" s="11" t="s">
        <v>123</v>
      </c>
      <c r="BB66" s="11">
        <v>24787</v>
      </c>
      <c r="BC66" s="11">
        <v>0</v>
      </c>
      <c r="BD66" s="11">
        <v>0</v>
      </c>
      <c r="BE66" s="11">
        <v>182</v>
      </c>
      <c r="BF66" s="11">
        <v>0</v>
      </c>
      <c r="BG66" s="11">
        <v>0</v>
      </c>
      <c r="BH66" s="11">
        <v>0</v>
      </c>
      <c r="BI66" s="11">
        <v>0</v>
      </c>
      <c r="BJ66" s="11" t="s">
        <v>211</v>
      </c>
      <c r="BK66" s="11">
        <v>276877</v>
      </c>
      <c r="BL66" s="11">
        <v>245848</v>
      </c>
      <c r="BM66" s="11">
        <v>88.793000000000006</v>
      </c>
      <c r="BN66" s="11">
        <v>101580</v>
      </c>
      <c r="BO66" s="11">
        <v>82893</v>
      </c>
      <c r="BP66" s="11">
        <v>81.602999999999994</v>
      </c>
      <c r="BQ66" s="11">
        <v>0</v>
      </c>
      <c r="BR66" s="11">
        <v>0</v>
      </c>
      <c r="BS66" s="11" t="s">
        <v>197</v>
      </c>
      <c r="BT66" s="11">
        <v>94096</v>
      </c>
      <c r="BU66" s="11">
        <v>156314</v>
      </c>
      <c r="BV66" s="11">
        <v>166.12100000000001</v>
      </c>
      <c r="BW66" s="11">
        <v>52808</v>
      </c>
      <c r="BX66" s="11">
        <v>106546</v>
      </c>
      <c r="BY66" s="11">
        <v>200114</v>
      </c>
      <c r="BZ66" s="11">
        <v>187.81899999999999</v>
      </c>
      <c r="CA66" s="11">
        <v>147306</v>
      </c>
      <c r="CB66" s="11">
        <v>138.256</v>
      </c>
      <c r="CC66" s="11">
        <v>1</v>
      </c>
      <c r="CD66" s="11">
        <v>2500</v>
      </c>
      <c r="CE66" s="11" t="s">
        <v>103</v>
      </c>
      <c r="CF66" s="11">
        <v>22457</v>
      </c>
      <c r="CG66" s="11">
        <v>89786</v>
      </c>
      <c r="CH66" s="11">
        <v>399.803</v>
      </c>
      <c r="CI66" s="11">
        <v>8272</v>
      </c>
      <c r="CJ66" s="11">
        <v>3850</v>
      </c>
      <c r="CK66" s="11">
        <v>46.545000000000002</v>
      </c>
      <c r="CL66" s="11">
        <v>1</v>
      </c>
      <c r="CM66" s="11">
        <v>0</v>
      </c>
      <c r="CN66" s="11" t="s">
        <v>153</v>
      </c>
      <c r="CO66" s="11">
        <v>16222.098</v>
      </c>
      <c r="CQ66">
        <f>SUMIFS([1]Working!$DC:$DC,[1]Working!$E:$E,H66)</f>
        <v>16222.098271431996</v>
      </c>
      <c r="CR66">
        <f t="shared" si="0"/>
        <v>-2.7143199622514658E-4</v>
      </c>
    </row>
    <row r="67" spans="1:96" x14ac:dyDescent="0.35">
      <c r="A67" s="3" t="s">
        <v>93</v>
      </c>
      <c r="B67" s="3" t="s">
        <v>94</v>
      </c>
      <c r="C67" s="3">
        <v>92</v>
      </c>
      <c r="D67" s="3" t="s">
        <v>95</v>
      </c>
      <c r="E67" s="3"/>
      <c r="F67" s="3" t="s">
        <v>397</v>
      </c>
      <c r="G67" s="3" t="s">
        <v>397</v>
      </c>
      <c r="H67" s="3" t="s">
        <v>383</v>
      </c>
      <c r="I67" s="3" t="s">
        <v>384</v>
      </c>
      <c r="J67" s="3" t="s">
        <v>99</v>
      </c>
      <c r="K67" s="3"/>
      <c r="L67" s="3" t="s">
        <v>398</v>
      </c>
      <c r="M67" s="3" t="s">
        <v>399</v>
      </c>
      <c r="N67" s="3"/>
      <c r="O67" s="3">
        <v>9</v>
      </c>
      <c r="P67" s="5" t="s">
        <v>101</v>
      </c>
      <c r="Q67" s="5" t="s">
        <v>102</v>
      </c>
      <c r="R67" s="5">
        <v>2817395</v>
      </c>
      <c r="S67" s="5">
        <v>814672</v>
      </c>
      <c r="T67" s="5">
        <v>28.916</v>
      </c>
      <c r="U67" s="5">
        <v>344105</v>
      </c>
      <c r="V67" s="5">
        <v>12.214</v>
      </c>
      <c r="W67" s="5">
        <v>0</v>
      </c>
      <c r="X67" s="5">
        <v>5528</v>
      </c>
      <c r="Y67" s="5">
        <v>0</v>
      </c>
      <c r="Z67" s="5">
        <v>0</v>
      </c>
      <c r="AA67" s="5">
        <v>68465</v>
      </c>
      <c r="AB67" s="5">
        <v>40702</v>
      </c>
      <c r="AC67" s="5">
        <v>59.448999999999998</v>
      </c>
      <c r="AD67" s="5">
        <v>125206</v>
      </c>
      <c r="AE67" s="5">
        <v>3650</v>
      </c>
      <c r="AF67" s="5">
        <v>2.915</v>
      </c>
      <c r="AG67" s="5">
        <v>811908</v>
      </c>
      <c r="AH67" s="5">
        <v>0</v>
      </c>
      <c r="AI67" s="5">
        <v>0</v>
      </c>
      <c r="AJ67" s="5">
        <v>0.67900000000000005</v>
      </c>
      <c r="AK67" s="5">
        <v>2764</v>
      </c>
      <c r="AL67" s="5">
        <v>0</v>
      </c>
      <c r="AM67" s="5"/>
      <c r="AN67" s="5"/>
      <c r="AO67" s="5"/>
      <c r="AP67" s="5">
        <v>0</v>
      </c>
      <c r="AQ67" s="5">
        <v>0</v>
      </c>
      <c r="AR67" s="5"/>
      <c r="AS67" s="5"/>
      <c r="AT67" s="5">
        <v>811908</v>
      </c>
      <c r="AU67" s="5">
        <v>28.818000000000001</v>
      </c>
      <c r="AV67" s="5">
        <v>0</v>
      </c>
      <c r="AW67" s="5" t="s">
        <v>400</v>
      </c>
      <c r="AX67" s="5">
        <v>0</v>
      </c>
      <c r="AY67" s="5" t="s">
        <v>401</v>
      </c>
      <c r="AZ67" s="5">
        <v>0</v>
      </c>
      <c r="BA67" s="5" t="s">
        <v>402</v>
      </c>
      <c r="BB67" s="5">
        <v>174958</v>
      </c>
      <c r="BC67" s="5">
        <v>60330</v>
      </c>
      <c r="BD67" s="5">
        <v>34.482999999999997</v>
      </c>
      <c r="BE67" s="5">
        <v>1144</v>
      </c>
      <c r="BF67" s="5">
        <v>368</v>
      </c>
      <c r="BG67" s="5">
        <v>32.162999999999997</v>
      </c>
      <c r="BH67" s="5">
        <v>1</v>
      </c>
      <c r="BI67" s="5">
        <v>0</v>
      </c>
      <c r="BJ67" s="5" t="s">
        <v>403</v>
      </c>
      <c r="BK67" s="5">
        <v>2149395</v>
      </c>
      <c r="BL67" s="5">
        <v>542366</v>
      </c>
      <c r="BM67" s="5">
        <v>25.233000000000001</v>
      </c>
      <c r="BN67" s="5">
        <v>1355242</v>
      </c>
      <c r="BO67" s="5">
        <v>200804</v>
      </c>
      <c r="BP67" s="5">
        <v>14.817</v>
      </c>
      <c r="BQ67" s="5">
        <v>0</v>
      </c>
      <c r="BR67" s="5">
        <v>0</v>
      </c>
      <c r="BS67" s="5" t="s">
        <v>403</v>
      </c>
      <c r="BT67" s="5">
        <v>334127</v>
      </c>
      <c r="BU67" s="5">
        <v>174127</v>
      </c>
      <c r="BV67" s="5">
        <v>52.113999999999997</v>
      </c>
      <c r="BW67" s="5">
        <v>0</v>
      </c>
      <c r="BX67" s="5">
        <v>351696</v>
      </c>
      <c r="BY67" s="5">
        <v>222241</v>
      </c>
      <c r="BZ67" s="5">
        <v>63.191000000000003</v>
      </c>
      <c r="CA67" s="5">
        <v>222241</v>
      </c>
      <c r="CB67" s="5">
        <v>63.191000000000003</v>
      </c>
      <c r="CC67" s="5">
        <v>2</v>
      </c>
      <c r="CD67" s="5">
        <v>0</v>
      </c>
      <c r="CE67" s="5" t="s">
        <v>403</v>
      </c>
      <c r="CF67" s="5">
        <v>199034</v>
      </c>
      <c r="CG67" s="5">
        <v>18288</v>
      </c>
      <c r="CH67" s="5">
        <v>9.1890000000000001</v>
      </c>
      <c r="CI67" s="5">
        <v>20576</v>
      </c>
      <c r="CJ67" s="5">
        <v>14631</v>
      </c>
      <c r="CK67" s="5">
        <v>71.105000000000004</v>
      </c>
      <c r="CL67" s="5">
        <v>0</v>
      </c>
      <c r="CM67" s="5">
        <v>0</v>
      </c>
      <c r="CN67" s="5" t="s">
        <v>403</v>
      </c>
      <c r="CO67" s="5">
        <v>0</v>
      </c>
      <c r="CQ67">
        <f>SUMIFS([1]Working!$DC:$DC,[1]Working!$E:$E,H67)</f>
        <v>0</v>
      </c>
      <c r="CR67">
        <f t="shared" ref="CR67:CR77" si="1">CO67-CQ67</f>
        <v>0</v>
      </c>
    </row>
    <row r="68" spans="1:96" x14ac:dyDescent="0.35">
      <c r="A68" s="6" t="s">
        <v>93</v>
      </c>
      <c r="B68" s="6" t="s">
        <v>94</v>
      </c>
      <c r="C68" s="6">
        <v>92</v>
      </c>
      <c r="D68" s="6" t="s">
        <v>95</v>
      </c>
      <c r="E68" s="6" t="s">
        <v>404</v>
      </c>
      <c r="F68" s="6" t="s">
        <v>397</v>
      </c>
      <c r="G68" s="6" t="s">
        <v>404</v>
      </c>
      <c r="H68" s="6" t="s">
        <v>405</v>
      </c>
      <c r="I68" s="6" t="s">
        <v>406</v>
      </c>
      <c r="J68" s="6" t="s">
        <v>110</v>
      </c>
      <c r="K68" s="7">
        <v>41213</v>
      </c>
      <c r="L68" s="6" t="s">
        <v>398</v>
      </c>
      <c r="M68" s="6" t="s">
        <v>407</v>
      </c>
      <c r="N68" s="6"/>
      <c r="O68" s="6">
        <v>9</v>
      </c>
      <c r="P68" s="8" t="s">
        <v>101</v>
      </c>
      <c r="Q68" s="8" t="s">
        <v>102</v>
      </c>
      <c r="R68" s="8">
        <v>2817395</v>
      </c>
      <c r="S68" s="8">
        <v>814672</v>
      </c>
      <c r="T68" s="8">
        <v>28.916</v>
      </c>
      <c r="U68" s="8">
        <v>344105</v>
      </c>
      <c r="V68" s="8">
        <v>12.214</v>
      </c>
      <c r="W68" s="8">
        <v>383275</v>
      </c>
      <c r="X68" s="8">
        <v>5528</v>
      </c>
      <c r="Y68" s="8">
        <v>0</v>
      </c>
      <c r="Z68" s="8">
        <v>13.603999999999999</v>
      </c>
      <c r="AA68" s="8">
        <v>68465</v>
      </c>
      <c r="AB68" s="8">
        <v>40702</v>
      </c>
      <c r="AC68" s="8">
        <v>59.448999999999998</v>
      </c>
      <c r="AD68" s="8">
        <v>125206</v>
      </c>
      <c r="AE68" s="8">
        <v>3650</v>
      </c>
      <c r="AF68" s="8">
        <v>2.915</v>
      </c>
      <c r="AG68" s="8">
        <v>811908</v>
      </c>
      <c r="AH68" s="8">
        <v>0</v>
      </c>
      <c r="AI68" s="8">
        <v>0</v>
      </c>
      <c r="AJ68" s="8">
        <v>0.67900000000000005</v>
      </c>
      <c r="AK68" s="8">
        <v>2764</v>
      </c>
      <c r="AL68" s="8">
        <v>0</v>
      </c>
      <c r="AM68" s="8">
        <v>2544046</v>
      </c>
      <c r="AN68" s="8">
        <v>942050</v>
      </c>
      <c r="AO68" s="8">
        <v>37.03</v>
      </c>
      <c r="AP68" s="8">
        <v>0</v>
      </c>
      <c r="AQ68" s="8">
        <v>0</v>
      </c>
      <c r="AR68" s="8"/>
      <c r="AS68" s="8"/>
      <c r="AT68" s="8">
        <v>811908</v>
      </c>
      <c r="AU68" s="8">
        <v>28.818000000000001</v>
      </c>
      <c r="AV68" s="8">
        <v>0</v>
      </c>
      <c r="AW68" s="8" t="s">
        <v>112</v>
      </c>
      <c r="AX68" s="8">
        <v>0</v>
      </c>
      <c r="AY68" s="8" t="s">
        <v>158</v>
      </c>
      <c r="AZ68" s="8">
        <v>0</v>
      </c>
      <c r="BA68" s="8" t="s">
        <v>105</v>
      </c>
      <c r="BB68" s="8">
        <v>174958</v>
      </c>
      <c r="BC68" s="8">
        <v>60330</v>
      </c>
      <c r="BD68" s="8">
        <v>34.482999999999997</v>
      </c>
      <c r="BE68" s="8">
        <v>1288</v>
      </c>
      <c r="BF68" s="8">
        <v>425</v>
      </c>
      <c r="BG68" s="8">
        <v>33.003999999999998</v>
      </c>
      <c r="BH68" s="8">
        <v>1</v>
      </c>
      <c r="BI68" s="8">
        <v>0</v>
      </c>
      <c r="BJ68" s="8" t="s">
        <v>160</v>
      </c>
      <c r="BK68" s="8">
        <v>2149395</v>
      </c>
      <c r="BL68" s="8">
        <v>542366</v>
      </c>
      <c r="BM68" s="8">
        <v>25.233000000000001</v>
      </c>
      <c r="BN68" s="8">
        <v>1355242</v>
      </c>
      <c r="BO68" s="8">
        <v>200804</v>
      </c>
      <c r="BP68" s="8">
        <v>14.817</v>
      </c>
      <c r="BQ68" s="8">
        <v>0</v>
      </c>
      <c r="BR68" s="8">
        <v>0</v>
      </c>
      <c r="BS68" s="8" t="s">
        <v>115</v>
      </c>
      <c r="BT68" s="8">
        <v>334127</v>
      </c>
      <c r="BU68" s="8">
        <v>174127</v>
      </c>
      <c r="BV68" s="8">
        <v>52.113999999999997</v>
      </c>
      <c r="BW68" s="8">
        <v>0</v>
      </c>
      <c r="BX68" s="8">
        <v>351696</v>
      </c>
      <c r="BY68" s="8">
        <v>222241</v>
      </c>
      <c r="BZ68" s="8">
        <v>63.191000000000003</v>
      </c>
      <c r="CA68" s="8">
        <v>222241</v>
      </c>
      <c r="CB68" s="8">
        <v>63.191000000000003</v>
      </c>
      <c r="CC68" s="8">
        <v>2</v>
      </c>
      <c r="CD68" s="8">
        <v>0</v>
      </c>
      <c r="CE68" s="8" t="s">
        <v>116</v>
      </c>
      <c r="CF68" s="8">
        <v>199034</v>
      </c>
      <c r="CG68" s="8">
        <v>18288</v>
      </c>
      <c r="CH68" s="8">
        <v>9.1890000000000001</v>
      </c>
      <c r="CI68" s="8">
        <v>20576</v>
      </c>
      <c r="CJ68" s="8">
        <v>14631</v>
      </c>
      <c r="CK68" s="8">
        <v>71.105000000000004</v>
      </c>
      <c r="CL68" s="8">
        <v>0</v>
      </c>
      <c r="CM68" s="8">
        <v>0</v>
      </c>
      <c r="CN68" s="8" t="s">
        <v>117</v>
      </c>
      <c r="CO68" s="8">
        <v>0</v>
      </c>
      <c r="CQ68">
        <f>SUMIFS([1]Working!$DC:$DC,[1]Working!$E:$E,H68)</f>
        <v>0</v>
      </c>
      <c r="CR68">
        <f t="shared" si="1"/>
        <v>0</v>
      </c>
    </row>
    <row r="69" spans="1:96" x14ac:dyDescent="0.35">
      <c r="A69" s="9" t="s">
        <v>93</v>
      </c>
      <c r="B69" s="9" t="s">
        <v>94</v>
      </c>
      <c r="C69" s="9">
        <v>92</v>
      </c>
      <c r="D69" s="9" t="s">
        <v>95</v>
      </c>
      <c r="E69" s="9" t="s">
        <v>404</v>
      </c>
      <c r="F69" s="9" t="s">
        <v>397</v>
      </c>
      <c r="G69" s="9" t="s">
        <v>408</v>
      </c>
      <c r="H69" s="9" t="s">
        <v>409</v>
      </c>
      <c r="I69" s="9" t="s">
        <v>410</v>
      </c>
      <c r="J69" s="9" t="s">
        <v>121</v>
      </c>
      <c r="K69" s="10">
        <v>45729</v>
      </c>
      <c r="L69" s="9" t="s">
        <v>411</v>
      </c>
      <c r="M69" s="9" t="s">
        <v>412</v>
      </c>
      <c r="N69" s="9"/>
      <c r="O69" s="9">
        <v>1</v>
      </c>
      <c r="P69" s="11" t="s">
        <v>101</v>
      </c>
      <c r="Q69" s="11" t="s">
        <v>102</v>
      </c>
      <c r="R69" s="11">
        <v>313044</v>
      </c>
      <c r="S69" s="11">
        <v>172780</v>
      </c>
      <c r="T69" s="11">
        <v>55.192999999999998</v>
      </c>
      <c r="U69" s="11">
        <v>178079</v>
      </c>
      <c r="V69" s="11">
        <v>56.886000000000003</v>
      </c>
      <c r="W69" s="11">
        <v>127254</v>
      </c>
      <c r="X69" s="11">
        <v>4168</v>
      </c>
      <c r="Y69" s="11">
        <v>0</v>
      </c>
      <c r="Z69" s="11">
        <v>40.651000000000003</v>
      </c>
      <c r="AA69" s="11">
        <v>7607</v>
      </c>
      <c r="AB69" s="11">
        <v>0</v>
      </c>
      <c r="AC69" s="11">
        <v>0</v>
      </c>
      <c r="AD69" s="11">
        <v>13912</v>
      </c>
      <c r="AE69" s="11">
        <v>0</v>
      </c>
      <c r="AF69" s="11">
        <v>0</v>
      </c>
      <c r="AG69" s="11">
        <v>168963</v>
      </c>
      <c r="AH69" s="11">
        <v>0</v>
      </c>
      <c r="AI69" s="11">
        <v>0</v>
      </c>
      <c r="AJ69" s="11">
        <v>2.4369999999999998</v>
      </c>
      <c r="AK69" s="11">
        <v>2084</v>
      </c>
      <c r="AL69" s="11">
        <v>0</v>
      </c>
      <c r="AM69" s="11">
        <v>282672</v>
      </c>
      <c r="AN69" s="11">
        <v>167772</v>
      </c>
      <c r="AO69" s="11">
        <v>59.351999999999997</v>
      </c>
      <c r="AP69" s="11">
        <v>90</v>
      </c>
      <c r="AQ69" s="11">
        <v>8</v>
      </c>
      <c r="AR69" s="11">
        <v>1</v>
      </c>
      <c r="AS69" s="11">
        <v>1</v>
      </c>
      <c r="AT69" s="11">
        <v>168963</v>
      </c>
      <c r="AU69" s="11">
        <v>53.973999999999997</v>
      </c>
      <c r="AV69" s="11">
        <v>0</v>
      </c>
      <c r="AW69" s="11" t="s">
        <v>413</v>
      </c>
      <c r="AX69" s="11">
        <v>0</v>
      </c>
      <c r="AY69" s="11" t="s">
        <v>113</v>
      </c>
      <c r="AZ69" s="11">
        <v>0</v>
      </c>
      <c r="BA69" s="11" t="s">
        <v>345</v>
      </c>
      <c r="BB69" s="11">
        <v>19440</v>
      </c>
      <c r="BC69" s="11">
        <v>3556</v>
      </c>
      <c r="BD69" s="11">
        <v>18.291</v>
      </c>
      <c r="BE69" s="11">
        <v>143</v>
      </c>
      <c r="BF69" s="11">
        <v>23</v>
      </c>
      <c r="BG69" s="11">
        <v>16.074999999999999</v>
      </c>
      <c r="BH69" s="11">
        <v>0</v>
      </c>
      <c r="BI69" s="11">
        <v>0</v>
      </c>
      <c r="BJ69" s="11" t="s">
        <v>160</v>
      </c>
      <c r="BK69" s="11">
        <v>238822</v>
      </c>
      <c r="BL69" s="11">
        <v>98805</v>
      </c>
      <c r="BM69" s="11">
        <v>41.372</v>
      </c>
      <c r="BN69" s="11">
        <v>150582</v>
      </c>
      <c r="BO69" s="11">
        <v>36453</v>
      </c>
      <c r="BP69" s="11">
        <v>24.207999999999998</v>
      </c>
      <c r="BQ69" s="11">
        <v>0</v>
      </c>
      <c r="BR69" s="11">
        <v>0</v>
      </c>
      <c r="BS69" s="11" t="s">
        <v>115</v>
      </c>
      <c r="BT69" s="11">
        <v>37125</v>
      </c>
      <c r="BU69" s="11">
        <v>42570</v>
      </c>
      <c r="BV69" s="11">
        <v>114.667</v>
      </c>
      <c r="BW69" s="11">
        <v>1733</v>
      </c>
      <c r="BX69" s="11">
        <v>39077</v>
      </c>
      <c r="BY69" s="11">
        <v>56871</v>
      </c>
      <c r="BZ69" s="11">
        <v>145.53399999999999</v>
      </c>
      <c r="CA69" s="11">
        <v>55138</v>
      </c>
      <c r="CB69" s="11">
        <v>141.1</v>
      </c>
      <c r="CC69" s="11">
        <v>1</v>
      </c>
      <c r="CD69" s="11">
        <v>0</v>
      </c>
      <c r="CE69" s="11" t="s">
        <v>114</v>
      </c>
      <c r="CF69" s="11">
        <v>22115</v>
      </c>
      <c r="CG69" s="11">
        <v>3658</v>
      </c>
      <c r="CH69" s="11">
        <v>16.539000000000001</v>
      </c>
      <c r="CI69" s="11">
        <v>2286</v>
      </c>
      <c r="CJ69" s="11">
        <v>0</v>
      </c>
      <c r="CK69" s="11">
        <v>0</v>
      </c>
      <c r="CL69" s="11">
        <v>0</v>
      </c>
      <c r="CM69" s="11">
        <v>0</v>
      </c>
      <c r="CN69" s="11" t="s">
        <v>117</v>
      </c>
      <c r="CO69" s="11">
        <v>0</v>
      </c>
      <c r="CQ69">
        <f>SUMIFS([1]Working!$DC:$DC,[1]Working!$E:$E,H69)</f>
        <v>0</v>
      </c>
      <c r="CR69">
        <f t="shared" si="1"/>
        <v>0</v>
      </c>
    </row>
    <row r="70" spans="1:96" x14ac:dyDescent="0.35">
      <c r="A70" s="9" t="s">
        <v>93</v>
      </c>
      <c r="B70" s="9" t="s">
        <v>94</v>
      </c>
      <c r="C70" s="9">
        <v>92</v>
      </c>
      <c r="D70" s="9" t="s">
        <v>95</v>
      </c>
      <c r="E70" s="9" t="s">
        <v>404</v>
      </c>
      <c r="F70" s="9" t="s">
        <v>397</v>
      </c>
      <c r="G70" s="9" t="s">
        <v>414</v>
      </c>
      <c r="H70" s="9" t="s">
        <v>415</v>
      </c>
      <c r="I70" s="9" t="s">
        <v>416</v>
      </c>
      <c r="J70" s="9" t="s">
        <v>121</v>
      </c>
      <c r="K70" s="10">
        <v>45692</v>
      </c>
      <c r="L70" s="9" t="s">
        <v>411</v>
      </c>
      <c r="M70" s="9" t="s">
        <v>417</v>
      </c>
      <c r="N70" s="9"/>
      <c r="O70" s="9">
        <v>1</v>
      </c>
      <c r="P70" s="11" t="s">
        <v>101</v>
      </c>
      <c r="Q70" s="11" t="s">
        <v>102</v>
      </c>
      <c r="R70" s="11">
        <v>313044</v>
      </c>
      <c r="S70" s="11">
        <v>83204</v>
      </c>
      <c r="T70" s="11">
        <v>26.579000000000001</v>
      </c>
      <c r="U70" s="11">
        <v>14931</v>
      </c>
      <c r="V70" s="11">
        <v>4.7699999999999996</v>
      </c>
      <c r="W70" s="11">
        <v>19010</v>
      </c>
      <c r="X70" s="11">
        <v>0</v>
      </c>
      <c r="Y70" s="11">
        <v>0</v>
      </c>
      <c r="Z70" s="11">
        <v>6.0730000000000004</v>
      </c>
      <c r="AA70" s="11">
        <v>7607</v>
      </c>
      <c r="AB70" s="11">
        <v>0</v>
      </c>
      <c r="AC70" s="11">
        <v>0</v>
      </c>
      <c r="AD70" s="11">
        <v>13912</v>
      </c>
      <c r="AE70" s="11">
        <v>0</v>
      </c>
      <c r="AF70" s="11">
        <v>0</v>
      </c>
      <c r="AG70" s="11">
        <v>83204</v>
      </c>
      <c r="AH70" s="11">
        <v>0</v>
      </c>
      <c r="AI70" s="11">
        <v>0</v>
      </c>
      <c r="AJ70" s="11">
        <v>0</v>
      </c>
      <c r="AK70" s="11">
        <v>0</v>
      </c>
      <c r="AL70" s="11">
        <v>0</v>
      </c>
      <c r="AM70" s="11">
        <v>282672</v>
      </c>
      <c r="AN70" s="11">
        <v>122118</v>
      </c>
      <c r="AO70" s="11">
        <v>43.201000000000001</v>
      </c>
      <c r="AP70" s="11">
        <v>85</v>
      </c>
      <c r="AQ70" s="11">
        <v>10</v>
      </c>
      <c r="AR70" s="11">
        <v>1</v>
      </c>
      <c r="AS70" s="11">
        <v>0.9</v>
      </c>
      <c r="AT70" s="11">
        <v>83204</v>
      </c>
      <c r="AU70" s="11">
        <v>26.579000000000001</v>
      </c>
      <c r="AV70" s="11">
        <v>0</v>
      </c>
      <c r="AW70" s="11" t="s">
        <v>112</v>
      </c>
      <c r="AX70" s="11">
        <v>0</v>
      </c>
      <c r="AY70" s="11" t="s">
        <v>158</v>
      </c>
      <c r="AZ70" s="11">
        <v>0</v>
      </c>
      <c r="BA70" s="11" t="s">
        <v>159</v>
      </c>
      <c r="BB70" s="11">
        <v>19440</v>
      </c>
      <c r="BC70" s="11">
        <v>19388</v>
      </c>
      <c r="BD70" s="11">
        <v>99.733999999999995</v>
      </c>
      <c r="BE70" s="11">
        <v>143</v>
      </c>
      <c r="BF70" s="11">
        <v>142</v>
      </c>
      <c r="BG70" s="11">
        <v>99.525000000000006</v>
      </c>
      <c r="BH70" s="11">
        <v>1</v>
      </c>
      <c r="BI70" s="11">
        <v>0</v>
      </c>
      <c r="BJ70" s="11" t="s">
        <v>114</v>
      </c>
      <c r="BK70" s="11">
        <v>238822</v>
      </c>
      <c r="BL70" s="11">
        <v>65130</v>
      </c>
      <c r="BM70" s="11">
        <v>27.271000000000001</v>
      </c>
      <c r="BN70" s="11">
        <v>150582</v>
      </c>
      <c r="BO70" s="11">
        <v>20442</v>
      </c>
      <c r="BP70" s="11">
        <v>13.574999999999999</v>
      </c>
      <c r="BQ70" s="11">
        <v>0</v>
      </c>
      <c r="BR70" s="11">
        <v>0</v>
      </c>
      <c r="BS70" s="11" t="s">
        <v>115</v>
      </c>
      <c r="BT70" s="11">
        <v>37125</v>
      </c>
      <c r="BU70" s="11">
        <v>24424</v>
      </c>
      <c r="BV70" s="11">
        <v>65.787999999999997</v>
      </c>
      <c r="BW70" s="11">
        <v>0</v>
      </c>
      <c r="BX70" s="11">
        <v>39077</v>
      </c>
      <c r="BY70" s="11">
        <v>25300</v>
      </c>
      <c r="BZ70" s="11">
        <v>64.742999999999995</v>
      </c>
      <c r="CA70" s="11">
        <v>25300</v>
      </c>
      <c r="CB70" s="11">
        <v>64.742999999999995</v>
      </c>
      <c r="CC70" s="11">
        <v>0</v>
      </c>
      <c r="CD70" s="11">
        <v>0</v>
      </c>
      <c r="CE70" s="11" t="s">
        <v>161</v>
      </c>
      <c r="CF70" s="11">
        <v>22115</v>
      </c>
      <c r="CG70" s="11">
        <v>0</v>
      </c>
      <c r="CH70" s="11">
        <v>0</v>
      </c>
      <c r="CI70" s="11">
        <v>2286</v>
      </c>
      <c r="CJ70" s="11">
        <v>0</v>
      </c>
      <c r="CK70" s="11">
        <v>0</v>
      </c>
      <c r="CL70" s="11">
        <v>0</v>
      </c>
      <c r="CM70" s="11">
        <v>0</v>
      </c>
      <c r="CN70" s="11" t="s">
        <v>117</v>
      </c>
      <c r="CO70" s="11">
        <v>0</v>
      </c>
      <c r="CQ70">
        <f>SUMIFS([1]Working!$DC:$DC,[1]Working!$E:$E,H70)</f>
        <v>0</v>
      </c>
      <c r="CR70">
        <f t="shared" si="1"/>
        <v>0</v>
      </c>
    </row>
    <row r="71" spans="1:96" x14ac:dyDescent="0.35">
      <c r="A71" s="9" t="s">
        <v>93</v>
      </c>
      <c r="B71" s="9" t="s">
        <v>94</v>
      </c>
      <c r="C71" s="9">
        <v>92</v>
      </c>
      <c r="D71" s="9" t="s">
        <v>95</v>
      </c>
      <c r="E71" s="9" t="s">
        <v>404</v>
      </c>
      <c r="F71" s="9" t="s">
        <v>397</v>
      </c>
      <c r="G71" s="9" t="s">
        <v>418</v>
      </c>
      <c r="H71" s="9" t="s">
        <v>419</v>
      </c>
      <c r="I71" s="9" t="s">
        <v>420</v>
      </c>
      <c r="J71" s="9" t="s">
        <v>121</v>
      </c>
      <c r="K71" s="10">
        <v>45692</v>
      </c>
      <c r="L71" s="9" t="s">
        <v>411</v>
      </c>
      <c r="M71" s="9" t="s">
        <v>421</v>
      </c>
      <c r="N71" s="9"/>
      <c r="O71" s="9">
        <v>1</v>
      </c>
      <c r="P71" s="11" t="s">
        <v>101</v>
      </c>
      <c r="Q71" s="11" t="s">
        <v>102</v>
      </c>
      <c r="R71" s="11">
        <v>313044</v>
      </c>
      <c r="S71" s="11">
        <v>22856</v>
      </c>
      <c r="T71" s="11">
        <v>7.3010000000000002</v>
      </c>
      <c r="U71" s="11">
        <v>-144681</v>
      </c>
      <c r="V71" s="11">
        <v>-46.216999999999999</v>
      </c>
      <c r="W71" s="11">
        <v>11542</v>
      </c>
      <c r="X71" s="11">
        <v>0</v>
      </c>
      <c r="Y71" s="11">
        <v>0</v>
      </c>
      <c r="Z71" s="11">
        <v>3.6869999999999998</v>
      </c>
      <c r="AA71" s="11">
        <v>7607</v>
      </c>
      <c r="AB71" s="11">
        <v>0</v>
      </c>
      <c r="AC71" s="11">
        <v>0</v>
      </c>
      <c r="AD71" s="11">
        <v>13912</v>
      </c>
      <c r="AE71" s="11">
        <v>0</v>
      </c>
      <c r="AF71" s="11">
        <v>0</v>
      </c>
      <c r="AG71" s="11">
        <v>22856</v>
      </c>
      <c r="AH71" s="11">
        <v>0</v>
      </c>
      <c r="AI71" s="11">
        <v>0</v>
      </c>
      <c r="AJ71" s="11">
        <v>0</v>
      </c>
      <c r="AK71" s="11">
        <v>0</v>
      </c>
      <c r="AL71" s="11">
        <v>0</v>
      </c>
      <c r="AM71" s="11">
        <v>282672</v>
      </c>
      <c r="AN71" s="11">
        <v>132579</v>
      </c>
      <c r="AO71" s="11">
        <v>46.902000000000001</v>
      </c>
      <c r="AP71" s="11">
        <v>69</v>
      </c>
      <c r="AQ71" s="11">
        <v>10</v>
      </c>
      <c r="AR71" s="11">
        <v>1</v>
      </c>
      <c r="AS71" s="11">
        <v>0.9</v>
      </c>
      <c r="AT71" s="11">
        <v>22856</v>
      </c>
      <c r="AU71" s="11">
        <v>7.3010000000000002</v>
      </c>
      <c r="AV71" s="11">
        <v>0</v>
      </c>
      <c r="AW71" s="11" t="s">
        <v>112</v>
      </c>
      <c r="AX71" s="11">
        <v>0</v>
      </c>
      <c r="AY71" s="11" t="s">
        <v>158</v>
      </c>
      <c r="AZ71" s="11">
        <v>0</v>
      </c>
      <c r="BA71" s="11" t="s">
        <v>159</v>
      </c>
      <c r="BB71" s="11">
        <v>19440</v>
      </c>
      <c r="BC71" s="11">
        <v>0</v>
      </c>
      <c r="BD71" s="11">
        <v>0</v>
      </c>
      <c r="BE71" s="11">
        <v>143</v>
      </c>
      <c r="BF71" s="11">
        <v>0</v>
      </c>
      <c r="BG71" s="11">
        <v>0</v>
      </c>
      <c r="BH71" s="11">
        <v>0</v>
      </c>
      <c r="BI71" s="11">
        <v>0</v>
      </c>
      <c r="BJ71" s="11" t="s">
        <v>160</v>
      </c>
      <c r="BK71" s="11">
        <v>238822</v>
      </c>
      <c r="BL71" s="11">
        <v>4894</v>
      </c>
      <c r="BM71" s="11">
        <v>2.0489999999999999</v>
      </c>
      <c r="BN71" s="11">
        <v>150582</v>
      </c>
      <c r="BO71" s="11">
        <v>1390</v>
      </c>
      <c r="BP71" s="11">
        <v>0.92300000000000004</v>
      </c>
      <c r="BQ71" s="11">
        <v>0</v>
      </c>
      <c r="BR71" s="11">
        <v>0</v>
      </c>
      <c r="BS71" s="11" t="s">
        <v>115</v>
      </c>
      <c r="BT71" s="11">
        <v>37125</v>
      </c>
      <c r="BU71" s="11">
        <v>0</v>
      </c>
      <c r="BV71" s="11">
        <v>0</v>
      </c>
      <c r="BW71" s="11">
        <v>0</v>
      </c>
      <c r="BX71" s="11">
        <v>39077</v>
      </c>
      <c r="BY71" s="11">
        <v>3504</v>
      </c>
      <c r="BZ71" s="11">
        <v>8.9670000000000005</v>
      </c>
      <c r="CA71" s="11">
        <v>3504</v>
      </c>
      <c r="CB71" s="11">
        <v>8.9670000000000005</v>
      </c>
      <c r="CC71" s="11">
        <v>0</v>
      </c>
      <c r="CD71" s="11">
        <v>0</v>
      </c>
      <c r="CE71" s="11" t="s">
        <v>161</v>
      </c>
      <c r="CF71" s="11">
        <v>22115</v>
      </c>
      <c r="CG71" s="11">
        <v>0</v>
      </c>
      <c r="CH71" s="11">
        <v>0</v>
      </c>
      <c r="CI71" s="11">
        <v>2286</v>
      </c>
      <c r="CJ71" s="11">
        <v>0</v>
      </c>
      <c r="CK71" s="11">
        <v>0</v>
      </c>
      <c r="CL71" s="11">
        <v>0</v>
      </c>
      <c r="CM71" s="11">
        <v>0</v>
      </c>
      <c r="CN71" s="11" t="s">
        <v>117</v>
      </c>
      <c r="CO71" s="11">
        <v>0</v>
      </c>
      <c r="CQ71">
        <f>SUMIFS([1]Working!$DC:$DC,[1]Working!$E:$E,H71)</f>
        <v>0</v>
      </c>
      <c r="CR71">
        <f t="shared" si="1"/>
        <v>0</v>
      </c>
    </row>
    <row r="72" spans="1:96" x14ac:dyDescent="0.35">
      <c r="A72" s="9" t="s">
        <v>93</v>
      </c>
      <c r="B72" s="9" t="s">
        <v>94</v>
      </c>
      <c r="C72" s="9">
        <v>92</v>
      </c>
      <c r="D72" s="9" t="s">
        <v>95</v>
      </c>
      <c r="E72" s="9" t="s">
        <v>404</v>
      </c>
      <c r="F72" s="9" t="s">
        <v>397</v>
      </c>
      <c r="G72" s="9" t="s">
        <v>422</v>
      </c>
      <c r="H72" s="9" t="s">
        <v>423</v>
      </c>
      <c r="I72" s="9" t="s">
        <v>424</v>
      </c>
      <c r="J72" s="9" t="s">
        <v>121</v>
      </c>
      <c r="K72" s="10">
        <v>45660</v>
      </c>
      <c r="L72" s="9" t="s">
        <v>411</v>
      </c>
      <c r="M72" s="9" t="s">
        <v>425</v>
      </c>
      <c r="N72" s="9"/>
      <c r="O72" s="9">
        <v>1</v>
      </c>
      <c r="P72" s="11" t="s">
        <v>101</v>
      </c>
      <c r="Q72" s="11" t="s">
        <v>129</v>
      </c>
      <c r="R72" s="11">
        <v>313044</v>
      </c>
      <c r="S72" s="11">
        <v>71161</v>
      </c>
      <c r="T72" s="11">
        <v>22.731999999999999</v>
      </c>
      <c r="U72" s="11">
        <v>71161</v>
      </c>
      <c r="V72" s="11">
        <v>22.731999999999999</v>
      </c>
      <c r="W72" s="11">
        <v>50286</v>
      </c>
      <c r="X72" s="11">
        <v>0</v>
      </c>
      <c r="Y72" s="11">
        <v>0</v>
      </c>
      <c r="Z72" s="11">
        <v>16.064</v>
      </c>
      <c r="AA72" s="11">
        <v>7607</v>
      </c>
      <c r="AB72" s="11">
        <v>0</v>
      </c>
      <c r="AC72" s="11">
        <v>0</v>
      </c>
      <c r="AD72" s="11">
        <v>13912</v>
      </c>
      <c r="AE72" s="11">
        <v>0</v>
      </c>
      <c r="AF72" s="11">
        <v>0</v>
      </c>
      <c r="AG72" s="11">
        <v>71161</v>
      </c>
      <c r="AH72" s="11">
        <v>0</v>
      </c>
      <c r="AI72" s="11">
        <v>0</v>
      </c>
      <c r="AJ72" s="11">
        <v>0</v>
      </c>
      <c r="AK72" s="11">
        <v>0</v>
      </c>
      <c r="AL72" s="11">
        <v>0</v>
      </c>
      <c r="AM72" s="11"/>
      <c r="AN72" s="11"/>
      <c r="AO72" s="11"/>
      <c r="AP72" s="11">
        <v>32</v>
      </c>
      <c r="AQ72" s="11">
        <v>6</v>
      </c>
      <c r="AR72" s="11">
        <v>0.9</v>
      </c>
      <c r="AS72" s="11">
        <v>0.9</v>
      </c>
      <c r="AT72" s="11">
        <v>71161</v>
      </c>
      <c r="AU72" s="11">
        <v>22.731999999999999</v>
      </c>
      <c r="AV72" s="11">
        <v>0</v>
      </c>
      <c r="AW72" s="11" t="s">
        <v>129</v>
      </c>
      <c r="AX72" s="11">
        <v>0</v>
      </c>
      <c r="AY72" s="11" t="s">
        <v>158</v>
      </c>
      <c r="AZ72" s="11">
        <v>0</v>
      </c>
      <c r="BA72" s="11" t="s">
        <v>159</v>
      </c>
      <c r="BB72" s="11">
        <v>19440</v>
      </c>
      <c r="BC72" s="11">
        <v>5775</v>
      </c>
      <c r="BD72" s="11">
        <v>29.707999999999998</v>
      </c>
      <c r="BE72" s="11">
        <v>143</v>
      </c>
      <c r="BF72" s="11">
        <v>40</v>
      </c>
      <c r="BG72" s="11">
        <v>27.957000000000001</v>
      </c>
      <c r="BH72" s="11">
        <v>0</v>
      </c>
      <c r="BI72" s="11">
        <v>0</v>
      </c>
      <c r="BJ72" s="11" t="s">
        <v>129</v>
      </c>
      <c r="BK72" s="11">
        <v>238822</v>
      </c>
      <c r="BL72" s="11">
        <v>48018</v>
      </c>
      <c r="BM72" s="11">
        <v>20.106000000000002</v>
      </c>
      <c r="BN72" s="11">
        <v>150582</v>
      </c>
      <c r="BO72" s="11">
        <v>22529</v>
      </c>
      <c r="BP72" s="11">
        <v>14.961</v>
      </c>
      <c r="BQ72" s="11">
        <v>0</v>
      </c>
      <c r="BR72" s="11">
        <v>0</v>
      </c>
      <c r="BS72" s="11" t="s">
        <v>129</v>
      </c>
      <c r="BT72" s="11">
        <v>37125</v>
      </c>
      <c r="BU72" s="11">
        <v>19539</v>
      </c>
      <c r="BV72" s="11">
        <v>52.631</v>
      </c>
      <c r="BW72" s="11">
        <v>0</v>
      </c>
      <c r="BX72" s="11">
        <v>39077</v>
      </c>
      <c r="BY72" s="11">
        <v>19714</v>
      </c>
      <c r="BZ72" s="11">
        <v>50.45</v>
      </c>
      <c r="CA72" s="11">
        <v>19714</v>
      </c>
      <c r="CB72" s="11">
        <v>50.45</v>
      </c>
      <c r="CC72" s="11">
        <v>0</v>
      </c>
      <c r="CD72" s="11">
        <v>0</v>
      </c>
      <c r="CE72" s="11" t="s">
        <v>129</v>
      </c>
      <c r="CF72" s="11">
        <v>22115</v>
      </c>
      <c r="CG72" s="11">
        <v>0</v>
      </c>
      <c r="CH72" s="11">
        <v>0</v>
      </c>
      <c r="CI72" s="11">
        <v>2286</v>
      </c>
      <c r="CJ72" s="11">
        <v>0</v>
      </c>
      <c r="CK72" s="11">
        <v>0</v>
      </c>
      <c r="CL72" s="11">
        <v>0</v>
      </c>
      <c r="CM72" s="11">
        <v>0</v>
      </c>
      <c r="CN72" s="11" t="s">
        <v>129</v>
      </c>
      <c r="CO72" s="11">
        <v>0</v>
      </c>
      <c r="CQ72">
        <f>SUMIFS([1]Working!$DC:$DC,[1]Working!$E:$E,H72)</f>
        <v>0</v>
      </c>
      <c r="CR72">
        <f t="shared" si="1"/>
        <v>0</v>
      </c>
    </row>
    <row r="73" spans="1:96" x14ac:dyDescent="0.35">
      <c r="A73" s="9" t="s">
        <v>93</v>
      </c>
      <c r="B73" s="9" t="s">
        <v>94</v>
      </c>
      <c r="C73" s="9">
        <v>92</v>
      </c>
      <c r="D73" s="9" t="s">
        <v>95</v>
      </c>
      <c r="E73" s="9" t="s">
        <v>404</v>
      </c>
      <c r="F73" s="9" t="s">
        <v>397</v>
      </c>
      <c r="G73" s="9" t="s">
        <v>426</v>
      </c>
      <c r="H73" s="9" t="s">
        <v>427</v>
      </c>
      <c r="I73" s="9" t="s">
        <v>428</v>
      </c>
      <c r="J73" s="9" t="s">
        <v>121</v>
      </c>
      <c r="K73" s="10">
        <v>45692</v>
      </c>
      <c r="L73" s="9" t="s">
        <v>411</v>
      </c>
      <c r="M73" s="9" t="s">
        <v>429</v>
      </c>
      <c r="N73" s="9"/>
      <c r="O73" s="9">
        <v>1</v>
      </c>
      <c r="P73" s="11" t="s">
        <v>101</v>
      </c>
      <c r="Q73" s="11" t="s">
        <v>102</v>
      </c>
      <c r="R73" s="11">
        <v>313044</v>
      </c>
      <c r="S73" s="11">
        <v>60743</v>
      </c>
      <c r="T73" s="11">
        <v>19.404</v>
      </c>
      <c r="U73" s="11">
        <v>-9786</v>
      </c>
      <c r="V73" s="11">
        <v>-3.1259999999999999</v>
      </c>
      <c r="W73" s="11">
        <v>37234</v>
      </c>
      <c r="X73" s="11">
        <v>226</v>
      </c>
      <c r="Y73" s="11">
        <v>0</v>
      </c>
      <c r="Z73" s="11">
        <v>11.894</v>
      </c>
      <c r="AA73" s="11">
        <v>7607</v>
      </c>
      <c r="AB73" s="11">
        <v>13153</v>
      </c>
      <c r="AC73" s="11">
        <v>172.90100000000001</v>
      </c>
      <c r="AD73" s="11">
        <v>13912</v>
      </c>
      <c r="AE73" s="11">
        <v>0</v>
      </c>
      <c r="AF73" s="11">
        <v>0</v>
      </c>
      <c r="AG73" s="11">
        <v>60743</v>
      </c>
      <c r="AH73" s="11">
        <v>0</v>
      </c>
      <c r="AI73" s="11">
        <v>0</v>
      </c>
      <c r="AJ73" s="11">
        <v>0.372</v>
      </c>
      <c r="AK73" s="11">
        <v>0</v>
      </c>
      <c r="AL73" s="11">
        <v>0</v>
      </c>
      <c r="AM73" s="11">
        <v>282672</v>
      </c>
      <c r="AN73" s="11">
        <v>78585</v>
      </c>
      <c r="AO73" s="11">
        <v>27.800999999999998</v>
      </c>
      <c r="AP73" s="11">
        <v>51</v>
      </c>
      <c r="AQ73" s="11">
        <v>8</v>
      </c>
      <c r="AR73" s="11">
        <v>1</v>
      </c>
      <c r="AS73" s="11">
        <v>0.9</v>
      </c>
      <c r="AT73" s="11">
        <v>60743</v>
      </c>
      <c r="AU73" s="11">
        <v>19.404</v>
      </c>
      <c r="AV73" s="11">
        <v>0</v>
      </c>
      <c r="AW73" s="11" t="s">
        <v>112</v>
      </c>
      <c r="AX73" s="11">
        <v>0</v>
      </c>
      <c r="AY73" s="11" t="s">
        <v>158</v>
      </c>
      <c r="AZ73" s="11">
        <v>0</v>
      </c>
      <c r="BA73" s="11" t="s">
        <v>159</v>
      </c>
      <c r="BB73" s="11">
        <v>19440</v>
      </c>
      <c r="BC73" s="11">
        <v>9405</v>
      </c>
      <c r="BD73" s="11">
        <v>48.381999999999998</v>
      </c>
      <c r="BE73" s="11">
        <v>143</v>
      </c>
      <c r="BF73" s="11">
        <v>66</v>
      </c>
      <c r="BG73" s="11">
        <v>45.848999999999997</v>
      </c>
      <c r="BH73" s="11">
        <v>0</v>
      </c>
      <c r="BI73" s="11">
        <v>0</v>
      </c>
      <c r="BJ73" s="11" t="s">
        <v>160</v>
      </c>
      <c r="BK73" s="11">
        <v>238822</v>
      </c>
      <c r="BL73" s="11">
        <v>53975</v>
      </c>
      <c r="BM73" s="11">
        <v>22.600999999999999</v>
      </c>
      <c r="BN73" s="11">
        <v>150582</v>
      </c>
      <c r="BO73" s="11">
        <v>11319</v>
      </c>
      <c r="BP73" s="11">
        <v>7.5170000000000003</v>
      </c>
      <c r="BQ73" s="11">
        <v>0</v>
      </c>
      <c r="BR73" s="11">
        <v>0</v>
      </c>
      <c r="BS73" s="11" t="s">
        <v>115</v>
      </c>
      <c r="BT73" s="11">
        <v>37125</v>
      </c>
      <c r="BU73" s="11">
        <v>9770</v>
      </c>
      <c r="BV73" s="11">
        <v>26.315000000000001</v>
      </c>
      <c r="BW73" s="11">
        <v>0</v>
      </c>
      <c r="BX73" s="11">
        <v>39077</v>
      </c>
      <c r="BY73" s="11">
        <v>12398</v>
      </c>
      <c r="BZ73" s="11">
        <v>31.725999999999999</v>
      </c>
      <c r="CA73" s="11">
        <v>12398</v>
      </c>
      <c r="CB73" s="11">
        <v>31.725999999999999</v>
      </c>
      <c r="CC73" s="11">
        <v>0</v>
      </c>
      <c r="CD73" s="11">
        <v>0</v>
      </c>
      <c r="CE73" s="11" t="s">
        <v>161</v>
      </c>
      <c r="CF73" s="11">
        <v>22115</v>
      </c>
      <c r="CG73" s="11">
        <v>7700</v>
      </c>
      <c r="CH73" s="11">
        <v>34.82</v>
      </c>
      <c r="CI73" s="11">
        <v>2286</v>
      </c>
      <c r="CJ73" s="11">
        <v>7700</v>
      </c>
      <c r="CK73" s="11">
        <v>336.81200000000001</v>
      </c>
      <c r="CL73" s="11">
        <v>0</v>
      </c>
      <c r="CM73" s="11">
        <v>0</v>
      </c>
      <c r="CN73" s="11" t="s">
        <v>319</v>
      </c>
      <c r="CO73" s="11">
        <v>0</v>
      </c>
      <c r="CQ73">
        <f>SUMIFS([1]Working!$DC:$DC,[1]Working!$E:$E,H73)</f>
        <v>0</v>
      </c>
      <c r="CR73">
        <f t="shared" si="1"/>
        <v>0</v>
      </c>
    </row>
    <row r="74" spans="1:96" x14ac:dyDescent="0.35">
      <c r="A74" s="9" t="s">
        <v>93</v>
      </c>
      <c r="B74" s="9" t="s">
        <v>94</v>
      </c>
      <c r="C74" s="9">
        <v>92</v>
      </c>
      <c r="D74" s="9" t="s">
        <v>95</v>
      </c>
      <c r="E74" s="9" t="s">
        <v>404</v>
      </c>
      <c r="F74" s="9" t="s">
        <v>397</v>
      </c>
      <c r="G74" s="9" t="s">
        <v>430</v>
      </c>
      <c r="H74" s="9" t="s">
        <v>431</v>
      </c>
      <c r="I74" s="9" t="s">
        <v>432</v>
      </c>
      <c r="J74" s="9" t="s">
        <v>121</v>
      </c>
      <c r="K74" s="10">
        <v>45649</v>
      </c>
      <c r="L74" s="9" t="s">
        <v>411</v>
      </c>
      <c r="M74" s="9" t="s">
        <v>433</v>
      </c>
      <c r="N74" s="9"/>
      <c r="O74" s="9">
        <v>1</v>
      </c>
      <c r="P74" s="11" t="s">
        <v>101</v>
      </c>
      <c r="Q74" s="11" t="s">
        <v>102</v>
      </c>
      <c r="R74" s="11">
        <v>313044</v>
      </c>
      <c r="S74" s="11">
        <v>129993</v>
      </c>
      <c r="T74" s="11">
        <v>41.526000000000003</v>
      </c>
      <c r="U74" s="11">
        <v>62415</v>
      </c>
      <c r="V74" s="11">
        <v>19.937999999999999</v>
      </c>
      <c r="W74" s="11">
        <v>39886</v>
      </c>
      <c r="X74" s="11">
        <v>528</v>
      </c>
      <c r="Y74" s="11">
        <v>0</v>
      </c>
      <c r="Z74" s="11">
        <v>12.741</v>
      </c>
      <c r="AA74" s="11">
        <v>7607</v>
      </c>
      <c r="AB74" s="11">
        <v>8855</v>
      </c>
      <c r="AC74" s="11">
        <v>116.402</v>
      </c>
      <c r="AD74" s="11">
        <v>13912</v>
      </c>
      <c r="AE74" s="11">
        <v>0</v>
      </c>
      <c r="AF74" s="11">
        <v>0</v>
      </c>
      <c r="AG74" s="11">
        <v>129993</v>
      </c>
      <c r="AH74" s="11">
        <v>0</v>
      </c>
      <c r="AI74" s="11">
        <v>0</v>
      </c>
      <c r="AJ74" s="11">
        <v>0.40600000000000003</v>
      </c>
      <c r="AK74" s="11">
        <v>0</v>
      </c>
      <c r="AL74" s="11">
        <v>0</v>
      </c>
      <c r="AM74" s="11">
        <v>282672</v>
      </c>
      <c r="AN74" s="11">
        <v>41256</v>
      </c>
      <c r="AO74" s="11">
        <v>14.595000000000001</v>
      </c>
      <c r="AP74" s="11">
        <v>6</v>
      </c>
      <c r="AQ74" s="11">
        <v>6</v>
      </c>
      <c r="AR74" s="11">
        <v>0.9</v>
      </c>
      <c r="AS74" s="11">
        <v>0.9</v>
      </c>
      <c r="AT74" s="11">
        <v>129993</v>
      </c>
      <c r="AU74" s="11">
        <v>41.526000000000003</v>
      </c>
      <c r="AV74" s="11">
        <v>0</v>
      </c>
      <c r="AW74" s="11" t="s">
        <v>112</v>
      </c>
      <c r="AX74" s="11">
        <v>0</v>
      </c>
      <c r="AY74" s="11" t="s">
        <v>158</v>
      </c>
      <c r="AZ74" s="11">
        <v>0</v>
      </c>
      <c r="BA74" s="11" t="s">
        <v>159</v>
      </c>
      <c r="BB74" s="11">
        <v>19440</v>
      </c>
      <c r="BC74" s="11">
        <v>14987</v>
      </c>
      <c r="BD74" s="11">
        <v>77.096000000000004</v>
      </c>
      <c r="BE74" s="11">
        <v>143</v>
      </c>
      <c r="BF74" s="11">
        <v>104</v>
      </c>
      <c r="BG74" s="11">
        <v>72.686999999999998</v>
      </c>
      <c r="BH74" s="11">
        <v>0</v>
      </c>
      <c r="BI74" s="11">
        <v>0</v>
      </c>
      <c r="BJ74" s="11" t="s">
        <v>160</v>
      </c>
      <c r="BK74" s="11">
        <v>238822</v>
      </c>
      <c r="BL74" s="11">
        <v>97365</v>
      </c>
      <c r="BM74" s="11">
        <v>40.768999999999998</v>
      </c>
      <c r="BN74" s="11">
        <v>150582</v>
      </c>
      <c r="BO74" s="11">
        <v>22445</v>
      </c>
      <c r="BP74" s="11">
        <v>14.906000000000001</v>
      </c>
      <c r="BQ74" s="11">
        <v>0</v>
      </c>
      <c r="BR74" s="11">
        <v>0</v>
      </c>
      <c r="BS74" s="11" t="s">
        <v>115</v>
      </c>
      <c r="BT74" s="11">
        <v>37125</v>
      </c>
      <c r="BU74" s="11">
        <v>34083</v>
      </c>
      <c r="BV74" s="11">
        <v>91.805000000000007</v>
      </c>
      <c r="BW74" s="11">
        <v>0</v>
      </c>
      <c r="BX74" s="11">
        <v>39077</v>
      </c>
      <c r="BY74" s="11">
        <v>51077</v>
      </c>
      <c r="BZ74" s="11">
        <v>130.708</v>
      </c>
      <c r="CA74" s="11">
        <v>51077</v>
      </c>
      <c r="CB74" s="11">
        <v>130.708</v>
      </c>
      <c r="CC74" s="11">
        <v>1</v>
      </c>
      <c r="CD74" s="11">
        <v>0</v>
      </c>
      <c r="CE74" s="11" t="s">
        <v>114</v>
      </c>
      <c r="CF74" s="11">
        <v>22115</v>
      </c>
      <c r="CG74" s="11">
        <v>0</v>
      </c>
      <c r="CH74" s="11">
        <v>0</v>
      </c>
      <c r="CI74" s="11">
        <v>2286</v>
      </c>
      <c r="CJ74" s="11">
        <v>0</v>
      </c>
      <c r="CK74" s="11">
        <v>0</v>
      </c>
      <c r="CL74" s="11">
        <v>0</v>
      </c>
      <c r="CM74" s="11">
        <v>0</v>
      </c>
      <c r="CN74" s="11" t="s">
        <v>117</v>
      </c>
      <c r="CO74" s="11">
        <v>0</v>
      </c>
      <c r="CQ74">
        <f>SUMIFS([1]Working!$DC:$DC,[1]Working!$E:$E,H74)</f>
        <v>0</v>
      </c>
      <c r="CR74">
        <f t="shared" si="1"/>
        <v>0</v>
      </c>
    </row>
    <row r="75" spans="1:96" x14ac:dyDescent="0.35">
      <c r="A75" s="9" t="s">
        <v>93</v>
      </c>
      <c r="B75" s="9" t="s">
        <v>94</v>
      </c>
      <c r="C75" s="9">
        <v>92</v>
      </c>
      <c r="D75" s="9" t="s">
        <v>95</v>
      </c>
      <c r="E75" s="9" t="s">
        <v>404</v>
      </c>
      <c r="F75" s="9" t="s">
        <v>397</v>
      </c>
      <c r="G75" s="9" t="s">
        <v>434</v>
      </c>
      <c r="H75" s="9" t="s">
        <v>435</v>
      </c>
      <c r="I75" s="9" t="s">
        <v>436</v>
      </c>
      <c r="J75" s="9" t="s">
        <v>121</v>
      </c>
      <c r="K75" s="10">
        <v>45721</v>
      </c>
      <c r="L75" s="9" t="s">
        <v>411</v>
      </c>
      <c r="M75" s="9" t="s">
        <v>437</v>
      </c>
      <c r="N75" s="9"/>
      <c r="O75" s="9">
        <v>1</v>
      </c>
      <c r="P75" s="11" t="s">
        <v>101</v>
      </c>
      <c r="Q75" s="11" t="s">
        <v>102</v>
      </c>
      <c r="R75" s="11">
        <v>313044</v>
      </c>
      <c r="S75" s="11">
        <v>113295</v>
      </c>
      <c r="T75" s="11">
        <v>36.191000000000003</v>
      </c>
      <c r="U75" s="11">
        <v>123105</v>
      </c>
      <c r="V75" s="11">
        <v>39.325000000000003</v>
      </c>
      <c r="W75" s="11">
        <v>25711</v>
      </c>
      <c r="X75" s="11">
        <v>0</v>
      </c>
      <c r="Y75" s="11">
        <v>0</v>
      </c>
      <c r="Z75" s="11">
        <v>8.2129999999999992</v>
      </c>
      <c r="AA75" s="11">
        <v>7607</v>
      </c>
      <c r="AB75" s="11">
        <v>0</v>
      </c>
      <c r="AC75" s="11">
        <v>0</v>
      </c>
      <c r="AD75" s="11">
        <v>13912</v>
      </c>
      <c r="AE75" s="11">
        <v>0</v>
      </c>
      <c r="AF75" s="11">
        <v>0</v>
      </c>
      <c r="AG75" s="11">
        <v>113295</v>
      </c>
      <c r="AH75" s="11">
        <v>0</v>
      </c>
      <c r="AI75" s="11">
        <v>0</v>
      </c>
      <c r="AJ75" s="11">
        <v>0</v>
      </c>
      <c r="AK75" s="11">
        <v>0</v>
      </c>
      <c r="AL75" s="11">
        <v>0</v>
      </c>
      <c r="AM75" s="11">
        <v>282672</v>
      </c>
      <c r="AN75" s="11">
        <v>115891</v>
      </c>
      <c r="AO75" s="11">
        <v>40.999000000000002</v>
      </c>
      <c r="AP75" s="11">
        <v>90</v>
      </c>
      <c r="AQ75" s="11">
        <v>0</v>
      </c>
      <c r="AR75" s="11">
        <v>0.9</v>
      </c>
      <c r="AS75" s="11">
        <v>1</v>
      </c>
      <c r="AT75" s="11">
        <v>113295</v>
      </c>
      <c r="AU75" s="11">
        <v>36.191000000000003</v>
      </c>
      <c r="AV75" s="11">
        <v>0</v>
      </c>
      <c r="AW75" s="11" t="s">
        <v>413</v>
      </c>
      <c r="AX75" s="11">
        <v>0</v>
      </c>
      <c r="AY75" s="11" t="s">
        <v>158</v>
      </c>
      <c r="AZ75" s="11">
        <v>0</v>
      </c>
      <c r="BA75" s="11" t="s">
        <v>345</v>
      </c>
      <c r="BB75" s="11">
        <v>19440</v>
      </c>
      <c r="BC75" s="11">
        <v>5775</v>
      </c>
      <c r="BD75" s="11">
        <v>29.707999999999998</v>
      </c>
      <c r="BE75" s="11">
        <v>143</v>
      </c>
      <c r="BF75" s="11">
        <v>40</v>
      </c>
      <c r="BG75" s="11">
        <v>27.957000000000001</v>
      </c>
      <c r="BH75" s="11">
        <v>0</v>
      </c>
      <c r="BI75" s="11">
        <v>0</v>
      </c>
      <c r="BJ75" s="11" t="s">
        <v>160</v>
      </c>
      <c r="BK75" s="11">
        <v>238822</v>
      </c>
      <c r="BL75" s="11">
        <v>68225</v>
      </c>
      <c r="BM75" s="11">
        <v>28.567</v>
      </c>
      <c r="BN75" s="11">
        <v>150582</v>
      </c>
      <c r="BO75" s="11">
        <v>39407</v>
      </c>
      <c r="BP75" s="11">
        <v>26.17</v>
      </c>
      <c r="BQ75" s="11">
        <v>0</v>
      </c>
      <c r="BR75" s="11">
        <v>0</v>
      </c>
      <c r="BS75" s="11" t="s">
        <v>115</v>
      </c>
      <c r="BT75" s="11">
        <v>37125</v>
      </c>
      <c r="BU75" s="11">
        <v>19539</v>
      </c>
      <c r="BV75" s="11">
        <v>52.631</v>
      </c>
      <c r="BW75" s="11">
        <v>0</v>
      </c>
      <c r="BX75" s="11">
        <v>39077</v>
      </c>
      <c r="BY75" s="11">
        <v>23043</v>
      </c>
      <c r="BZ75" s="11">
        <v>58.968000000000004</v>
      </c>
      <c r="CA75" s="11">
        <v>23043</v>
      </c>
      <c r="CB75" s="11">
        <v>58.968000000000004</v>
      </c>
      <c r="CC75" s="11">
        <v>0</v>
      </c>
      <c r="CD75" s="11">
        <v>0</v>
      </c>
      <c r="CE75" s="11" t="s">
        <v>161</v>
      </c>
      <c r="CF75" s="11">
        <v>22115</v>
      </c>
      <c r="CG75" s="11">
        <v>0</v>
      </c>
      <c r="CH75" s="11">
        <v>0</v>
      </c>
      <c r="CI75" s="11">
        <v>2286</v>
      </c>
      <c r="CJ75" s="11">
        <v>0</v>
      </c>
      <c r="CK75" s="11">
        <v>0</v>
      </c>
      <c r="CL75" s="11">
        <v>0</v>
      </c>
      <c r="CM75" s="11">
        <v>0</v>
      </c>
      <c r="CN75" s="11" t="s">
        <v>117</v>
      </c>
      <c r="CO75" s="11">
        <v>0</v>
      </c>
      <c r="CQ75">
        <f>SUMIFS([1]Working!$DC:$DC,[1]Working!$E:$E,H75)</f>
        <v>0</v>
      </c>
      <c r="CR75">
        <f t="shared" si="1"/>
        <v>0</v>
      </c>
    </row>
    <row r="76" spans="1:96" x14ac:dyDescent="0.35">
      <c r="A76" s="9" t="s">
        <v>93</v>
      </c>
      <c r="B76" s="9" t="s">
        <v>94</v>
      </c>
      <c r="C76" s="9">
        <v>92</v>
      </c>
      <c r="D76" s="9" t="s">
        <v>95</v>
      </c>
      <c r="E76" s="9" t="s">
        <v>404</v>
      </c>
      <c r="F76" s="9" t="s">
        <v>397</v>
      </c>
      <c r="G76" s="9" t="s">
        <v>438</v>
      </c>
      <c r="H76" s="9" t="s">
        <v>439</v>
      </c>
      <c r="I76" s="9" t="s">
        <v>440</v>
      </c>
      <c r="J76" s="9" t="s">
        <v>121</v>
      </c>
      <c r="K76" s="10">
        <v>45701</v>
      </c>
      <c r="L76" s="9" t="s">
        <v>411</v>
      </c>
      <c r="M76" s="9" t="s">
        <v>441</v>
      </c>
      <c r="N76" s="9"/>
      <c r="O76" s="9">
        <v>1</v>
      </c>
      <c r="P76" s="11" t="s">
        <v>101</v>
      </c>
      <c r="Q76" s="11" t="s">
        <v>102</v>
      </c>
      <c r="R76" s="11">
        <v>313044</v>
      </c>
      <c r="S76" s="11">
        <v>88048</v>
      </c>
      <c r="T76" s="11">
        <v>28.126000000000001</v>
      </c>
      <c r="U76" s="11">
        <v>67530</v>
      </c>
      <c r="V76" s="11">
        <v>21.571999999999999</v>
      </c>
      <c r="W76" s="11">
        <v>6689</v>
      </c>
      <c r="X76" s="11">
        <v>606</v>
      </c>
      <c r="Y76" s="11">
        <v>0</v>
      </c>
      <c r="Z76" s="11">
        <v>2.137</v>
      </c>
      <c r="AA76" s="11">
        <v>7607</v>
      </c>
      <c r="AB76" s="11">
        <v>8855</v>
      </c>
      <c r="AC76" s="11">
        <v>116.402</v>
      </c>
      <c r="AD76" s="11">
        <v>13912</v>
      </c>
      <c r="AE76" s="11">
        <v>0</v>
      </c>
      <c r="AF76" s="11">
        <v>0</v>
      </c>
      <c r="AG76" s="11">
        <v>87745</v>
      </c>
      <c r="AH76" s="11">
        <v>0</v>
      </c>
      <c r="AI76" s="11">
        <v>0</v>
      </c>
      <c r="AJ76" s="11">
        <v>0.68899999999999995</v>
      </c>
      <c r="AK76" s="11">
        <v>303</v>
      </c>
      <c r="AL76" s="11">
        <v>0</v>
      </c>
      <c r="AM76" s="11">
        <v>282672</v>
      </c>
      <c r="AN76" s="11">
        <v>53818</v>
      </c>
      <c r="AO76" s="11">
        <v>19.039000000000001</v>
      </c>
      <c r="AP76" s="11">
        <v>0</v>
      </c>
      <c r="AQ76" s="11">
        <v>0</v>
      </c>
      <c r="AR76" s="11">
        <v>0.9</v>
      </c>
      <c r="AS76" s="11">
        <v>0.9</v>
      </c>
      <c r="AT76" s="11">
        <v>87745</v>
      </c>
      <c r="AU76" s="11">
        <v>28.03</v>
      </c>
      <c r="AV76" s="11">
        <v>0</v>
      </c>
      <c r="AW76" s="11" t="s">
        <v>112</v>
      </c>
      <c r="AX76" s="11">
        <v>0</v>
      </c>
      <c r="AY76" s="11" t="s">
        <v>158</v>
      </c>
      <c r="AZ76" s="11">
        <v>0</v>
      </c>
      <c r="BA76" s="11" t="s">
        <v>159</v>
      </c>
      <c r="BB76" s="11">
        <v>19440</v>
      </c>
      <c r="BC76" s="11">
        <v>0</v>
      </c>
      <c r="BD76" s="11">
        <v>0</v>
      </c>
      <c r="BE76" s="11">
        <v>143</v>
      </c>
      <c r="BF76" s="11">
        <v>0</v>
      </c>
      <c r="BG76" s="11">
        <v>0</v>
      </c>
      <c r="BH76" s="11">
        <v>0</v>
      </c>
      <c r="BI76" s="11">
        <v>0</v>
      </c>
      <c r="BJ76" s="11" t="s">
        <v>160</v>
      </c>
      <c r="BK76" s="11">
        <v>238822</v>
      </c>
      <c r="BL76" s="11">
        <v>41367</v>
      </c>
      <c r="BM76" s="11">
        <v>17.321000000000002</v>
      </c>
      <c r="BN76" s="11">
        <v>150582</v>
      </c>
      <c r="BO76" s="11">
        <v>24345</v>
      </c>
      <c r="BP76" s="11">
        <v>16.167000000000002</v>
      </c>
      <c r="BQ76" s="11">
        <v>0</v>
      </c>
      <c r="BR76" s="11">
        <v>0</v>
      </c>
      <c r="BS76" s="11" t="s">
        <v>115</v>
      </c>
      <c r="BT76" s="11">
        <v>37125</v>
      </c>
      <c r="BU76" s="11">
        <v>4663</v>
      </c>
      <c r="BV76" s="11">
        <v>12.56</v>
      </c>
      <c r="BW76" s="11">
        <v>0</v>
      </c>
      <c r="BX76" s="11">
        <v>39077</v>
      </c>
      <c r="BY76" s="11">
        <v>8167</v>
      </c>
      <c r="BZ76" s="11">
        <v>20.899000000000001</v>
      </c>
      <c r="CA76" s="11">
        <v>8167</v>
      </c>
      <c r="CB76" s="11">
        <v>20.899000000000001</v>
      </c>
      <c r="CC76" s="11">
        <v>0</v>
      </c>
      <c r="CD76" s="11">
        <v>0</v>
      </c>
      <c r="CE76" s="11" t="s">
        <v>161</v>
      </c>
      <c r="CF76" s="11">
        <v>22115</v>
      </c>
      <c r="CG76" s="11">
        <v>0</v>
      </c>
      <c r="CH76" s="11">
        <v>0</v>
      </c>
      <c r="CI76" s="11">
        <v>2286</v>
      </c>
      <c r="CJ76" s="11">
        <v>0</v>
      </c>
      <c r="CK76" s="11">
        <v>0</v>
      </c>
      <c r="CL76" s="11">
        <v>0</v>
      </c>
      <c r="CM76" s="11">
        <v>0</v>
      </c>
      <c r="CN76" s="11" t="s">
        <v>117</v>
      </c>
      <c r="CO76" s="11">
        <v>0</v>
      </c>
      <c r="CQ76">
        <f>SUMIFS([1]Working!$DC:$DC,[1]Working!$E:$E,H76)</f>
        <v>0</v>
      </c>
      <c r="CR76">
        <f t="shared" si="1"/>
        <v>0</v>
      </c>
    </row>
    <row r="77" spans="1:96" x14ac:dyDescent="0.35">
      <c r="A77" s="9" t="s">
        <v>93</v>
      </c>
      <c r="B77" s="9" t="s">
        <v>94</v>
      </c>
      <c r="C77" s="9">
        <v>92</v>
      </c>
      <c r="D77" s="9" t="s">
        <v>95</v>
      </c>
      <c r="E77" s="9" t="s">
        <v>404</v>
      </c>
      <c r="F77" s="9" t="s">
        <v>397</v>
      </c>
      <c r="G77" s="9" t="s">
        <v>442</v>
      </c>
      <c r="H77" s="9" t="s">
        <v>443</v>
      </c>
      <c r="I77" s="9" t="s">
        <v>444</v>
      </c>
      <c r="J77" s="9" t="s">
        <v>121</v>
      </c>
      <c r="K77" s="10">
        <v>45660</v>
      </c>
      <c r="L77" s="9" t="s">
        <v>411</v>
      </c>
      <c r="M77" s="9" t="s">
        <v>445</v>
      </c>
      <c r="N77" s="9"/>
      <c r="O77" s="9">
        <v>1</v>
      </c>
      <c r="P77" s="11" t="s">
        <v>101</v>
      </c>
      <c r="Q77" s="11" t="s">
        <v>102</v>
      </c>
      <c r="R77" s="11">
        <v>313044</v>
      </c>
      <c r="S77" s="11">
        <v>72592</v>
      </c>
      <c r="T77" s="11">
        <v>23.189</v>
      </c>
      <c r="U77" s="11">
        <v>-18650</v>
      </c>
      <c r="V77" s="11">
        <v>-5.9580000000000002</v>
      </c>
      <c r="W77" s="11">
        <v>65662</v>
      </c>
      <c r="X77" s="11">
        <v>0</v>
      </c>
      <c r="Y77" s="11">
        <v>0</v>
      </c>
      <c r="Z77" s="11">
        <v>20.975000000000001</v>
      </c>
      <c r="AA77" s="11">
        <v>7607</v>
      </c>
      <c r="AB77" s="11">
        <v>9839</v>
      </c>
      <c r="AC77" s="11">
        <v>129.33600000000001</v>
      </c>
      <c r="AD77" s="11">
        <v>13912</v>
      </c>
      <c r="AE77" s="11">
        <v>3650</v>
      </c>
      <c r="AF77" s="11">
        <v>26.236999999999998</v>
      </c>
      <c r="AG77" s="11">
        <v>72592</v>
      </c>
      <c r="AH77" s="11">
        <v>0</v>
      </c>
      <c r="AI77" s="11">
        <v>0</v>
      </c>
      <c r="AJ77" s="11">
        <v>0</v>
      </c>
      <c r="AK77" s="11">
        <v>0</v>
      </c>
      <c r="AL77" s="11">
        <v>0</v>
      </c>
      <c r="AM77" s="11">
        <v>282672</v>
      </c>
      <c r="AN77" s="11">
        <v>147432</v>
      </c>
      <c r="AO77" s="11">
        <v>52.156999999999996</v>
      </c>
      <c r="AP77" s="11">
        <v>49</v>
      </c>
      <c r="AQ77" s="11">
        <v>10</v>
      </c>
      <c r="AR77" s="11">
        <v>1</v>
      </c>
      <c r="AS77" s="11">
        <v>0.9</v>
      </c>
      <c r="AT77" s="11">
        <v>72592</v>
      </c>
      <c r="AU77" s="11">
        <v>23.189</v>
      </c>
      <c r="AV77" s="11">
        <v>0</v>
      </c>
      <c r="AW77" s="11" t="s">
        <v>112</v>
      </c>
      <c r="AX77" s="11">
        <v>0</v>
      </c>
      <c r="AY77" s="11" t="s">
        <v>158</v>
      </c>
      <c r="AZ77" s="11">
        <v>0</v>
      </c>
      <c r="BA77" s="11" t="s">
        <v>159</v>
      </c>
      <c r="BB77" s="11">
        <v>19440</v>
      </c>
      <c r="BC77" s="11">
        <v>1444</v>
      </c>
      <c r="BD77" s="11">
        <v>7.4269999999999996</v>
      </c>
      <c r="BE77" s="11">
        <v>143</v>
      </c>
      <c r="BF77" s="11">
        <v>10</v>
      </c>
      <c r="BG77" s="11">
        <v>6.9889999999999999</v>
      </c>
      <c r="BH77" s="11">
        <v>0</v>
      </c>
      <c r="BI77" s="11">
        <v>0</v>
      </c>
      <c r="BJ77" s="11" t="s">
        <v>160</v>
      </c>
      <c r="BK77" s="11">
        <v>238822</v>
      </c>
      <c r="BL77" s="11">
        <v>62854</v>
      </c>
      <c r="BM77" s="11">
        <v>26.318000000000001</v>
      </c>
      <c r="BN77" s="11">
        <v>150582</v>
      </c>
      <c r="BO77" s="11">
        <v>22474</v>
      </c>
      <c r="BP77" s="11">
        <v>14.925000000000001</v>
      </c>
      <c r="BQ77" s="11">
        <v>0</v>
      </c>
      <c r="BR77" s="11">
        <v>0</v>
      </c>
      <c r="BS77" s="11" t="s">
        <v>115</v>
      </c>
      <c r="BT77" s="11">
        <v>37125</v>
      </c>
      <c r="BU77" s="11">
        <v>19539</v>
      </c>
      <c r="BV77" s="11">
        <v>52.631</v>
      </c>
      <c r="BW77" s="11">
        <v>0</v>
      </c>
      <c r="BX77" s="11">
        <v>39077</v>
      </c>
      <c r="BY77" s="11">
        <v>22167</v>
      </c>
      <c r="BZ77" s="11">
        <v>56.725999999999999</v>
      </c>
      <c r="CA77" s="11">
        <v>22167</v>
      </c>
      <c r="CB77" s="11">
        <v>56.725999999999999</v>
      </c>
      <c r="CC77" s="11">
        <v>0</v>
      </c>
      <c r="CD77" s="11">
        <v>0</v>
      </c>
      <c r="CE77" s="11" t="s">
        <v>161</v>
      </c>
      <c r="CF77" s="11">
        <v>22115</v>
      </c>
      <c r="CG77" s="11">
        <v>6930</v>
      </c>
      <c r="CH77" s="11">
        <v>31.338000000000001</v>
      </c>
      <c r="CI77" s="11">
        <v>2286</v>
      </c>
      <c r="CJ77" s="11">
        <v>6930</v>
      </c>
      <c r="CK77" s="11">
        <v>303.13099999999997</v>
      </c>
      <c r="CL77" s="11">
        <v>0</v>
      </c>
      <c r="CM77" s="11">
        <v>0</v>
      </c>
      <c r="CN77" s="11" t="s">
        <v>319</v>
      </c>
      <c r="CO77" s="11">
        <v>0</v>
      </c>
      <c r="CQ77">
        <f>SUMIFS([1]Working!$DC:$DC,[1]Working!$E:$E,H77)</f>
        <v>0</v>
      </c>
      <c r="CR77">
        <f t="shared" si="1"/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9538A7D2BA09241BF3E1B2A66E22CF2" ma:contentTypeVersion="6" ma:contentTypeDescription="Create a new document." ma:contentTypeScope="" ma:versionID="00aed911c26b504ffa72b3de2270ae66">
  <xsd:schema xmlns:xsd="http://www.w3.org/2001/XMLSchema" xmlns:xs="http://www.w3.org/2001/XMLSchema" xmlns:p="http://schemas.microsoft.com/office/2006/metadata/properties" xmlns:ns2="5a08ceb0-8a39-4088-bcd1-3c497981c217" xmlns:ns3="81416f4a-7f3e-4e10-bd92-aaf230e087ab" targetNamespace="http://schemas.microsoft.com/office/2006/metadata/properties" ma:root="true" ma:fieldsID="52771deb4873b5c80fad8ffceb5b4fec" ns2:_="" ns3:_="">
    <xsd:import namespace="5a08ceb0-8a39-4088-bcd1-3c497981c217"/>
    <xsd:import namespace="81416f4a-7f3e-4e10-bd92-aaf230e087ab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08ceb0-8a39-4088-bcd1-3c497981c21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1416f4a-7f3e-4e10-bd92-aaf230e087a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A165B8A-5E4D-4287-A3EF-5229154AB767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366611E3-663A-4EDE-B83D-0320A3AB598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a08ceb0-8a39-4088-bcd1-3c497981c217"/>
    <ds:schemaRef ds:uri="81416f4a-7f3e-4e10-bd92-aaf230e087a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3CCD9B8-F27F-444B-A445-C5179A6B6DA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5b268d57-2a6f-4e04-b0de-6938583d5ebc}" enabled="0" method="" siteId="{5b268d57-2a6f-4e04-b0de-6938583d5ebc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Payout_Data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Aditya Pagare, Aditya Pagare</cp:lastModifiedBy>
  <dcterms:created xsi:type="dcterms:W3CDTF">2025-09-22T08:48:44Z</dcterms:created>
  <dcterms:modified xsi:type="dcterms:W3CDTF">2026-02-17T07:17:32Z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0x010100A9538A7D2BA09241BF3E1B2A66E22CF2</vt:lpwstr>
  </property>
</Properties>
</file>